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Summary" sheetId="2" state="visible" r:id="rId4"/>
    <sheet name="KPI_By_Yard" sheetId="3" state="visible" r:id="rId5"/>
    <sheet name="KPI_By_Metal" sheetId="4" state="visible" r:id="rId6"/>
    <sheet name="Aging_Detail" sheetId="5" state="visible" r:id="rId7"/>
    <sheet name="Margin_Analysis" sheetId="6" state="visible" r:id="rId8"/>
    <sheet name="At_Risk_Inventory" sheetId="7" state="visible" r:id="rId9"/>
    <sheet name="Monthly_Tren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<sst xmlns="http://schemas.openxmlformats.org/spreadsheetml/2006/main" count="1705" uniqueCount="244">
  <si>
    <t xml:space="preserve">SCRAP METAL INVENTORY KPI &amp; AGING ANALYSIS</t>
  </si>
  <si>
    <t xml:space="preserve">PURPOSE</t>
  </si>
  <si>
    <t xml:space="preserve">Tracks inventory position, turnover, aging, margin, and at-risk material across 8 scrap-metal yards (40 grades, 24 months). Designed for a Commercial Planning &amp; Inventory Analyst reviewing inventory health and deciding what to move.</t>
  </si>
  <si>
    <t xml:space="preserve">SHEET GUIDE</t>
  </si>
  <si>
    <t xml:space="preserve">README — this page</t>
  </si>
  <si>
    <t xml:space="preserve">KPI_Summary — network-wide headline metrics: tons, value, turnover, days of inventory, aging, capacity utilization, margin</t>
  </si>
  <si>
    <t xml:space="preserve">KPI_By_Yard — same KPIs broken down by yard, with month-over-month change</t>
  </si>
  <si>
    <t xml:space="preserve">KPI_By_Metal — same KPIs broken down by metal group (Copper, Aluminum, Brass, Stainless, Ferrous)</t>
  </si>
  <si>
    <t xml:space="preserve">Aging_Detail — every yard-grade position with 30/60/90+ day aging buckets, highlighted by risk</t>
  </si>
  <si>
    <t xml:space="preserve">Margin_Analysis — buy/sell spread and 30-day price trend for every grade</t>
  </si>
  <si>
    <t xml:space="preserve">At_Risk_Inventory — flagged positions with risk scores and recommended actions (material-to-move list)</t>
  </si>
  <si>
    <t xml:space="preserve">Monthly_Trends — 24-month time series of all key metrics</t>
  </si>
  <si>
    <t xml:space="preserve">KEY METRICS</t>
  </si>
  <si>
    <t xml:space="preserve">Total tons on hand: 58,773</t>
  </si>
  <si>
    <t xml:space="preserve">Book value: $61,015,454  |  Market value: $69,611,252</t>
  </si>
  <si>
    <t xml:space="preserve">Inventory turnover (annualized): 24.2x  |  Days of inventory: 15</t>
  </si>
  <si>
    <t xml:space="preserve">Aged 90+ days: 3,764 tons (6.4% of total)</t>
  </si>
  <si>
    <t xml:space="preserve">At-risk positions: 17 yard-grade pairs flagged for action</t>
  </si>
  <si>
    <t xml:space="preserve">TOOLS</t>
  </si>
  <si>
    <t xml:space="preserve">Python (pandas, openpyxl) for data processing and workbook generation. All formulas in Excel.</t>
  </si>
  <si>
    <t xml:space="preserve">DATA NOTE</t>
  </si>
  <si>
    <t xml:space="preserve">All data is synthetic, generated by a Python script simulating a scrap-metal yard network.</t>
  </si>
  <si>
    <t xml:space="preserve">Scrap Metal Inventory KPI Summary</t>
  </si>
  <si>
    <t xml:space="preserve">Reporting Period: September 2026</t>
  </si>
  <si>
    <t xml:space="preserve">Total Tons on Hand</t>
  </si>
  <si>
    <t xml:space="preserve">Book Value</t>
  </si>
  <si>
    <t xml:space="preserve">Market Value</t>
  </si>
  <si>
    <t xml:space="preserve">Inventory Turnover</t>
  </si>
  <si>
    <t xml:space="preserve">Days of Inventory</t>
  </si>
  <si>
    <t xml:space="preserve">Capacity Utilization</t>
  </si>
  <si>
    <t xml:space="preserve">Avg Margin ($/ton)</t>
  </si>
  <si>
    <t xml:space="preserve">Unrealized Gain/Loss</t>
  </si>
  <si>
    <t xml:space="preserve">MoM Change</t>
  </si>
  <si>
    <t xml:space="preserve">Aging Breakdown</t>
  </si>
  <si>
    <t xml:space="preserve">Bucket</t>
  </si>
  <si>
    <t xml:space="preserve">Tons</t>
  </si>
  <si>
    <t xml:space="preserve">% of Total</t>
  </si>
  <si>
    <t xml:space="preserve">0-30 Days</t>
  </si>
  <si>
    <t xml:space="preserve">31-60 Days</t>
  </si>
  <si>
    <t xml:space="preserve">61-90 Days</t>
  </si>
  <si>
    <t xml:space="preserve">90+ Days</t>
  </si>
  <si>
    <t xml:space="preserve">Total</t>
  </si>
  <si>
    <t xml:space="preserve">All data is synthetic. Turnover is annualized from trailing 12-month shipments / average on-hand.</t>
  </si>
  <si>
    <t xml:space="preserve">Inventory KPIs by Yard</t>
  </si>
  <si>
    <t xml:space="preserve">As of September 2026</t>
  </si>
  <si>
    <t xml:space="preserve">Yard</t>
  </si>
  <si>
    <t xml:space="preserve">Yard ID</t>
  </si>
  <si>
    <t xml:space="preserve">Tons on Hand</t>
  </si>
  <si>
    <t xml:space="preserve">Book Value ($)</t>
  </si>
  <si>
    <t xml:space="preserve">Market Value ($)</t>
  </si>
  <si>
    <t xml:space="preserve">Unrealized ($)</t>
  </si>
  <si>
    <t xml:space="preserve">Turnover</t>
  </si>
  <si>
    <t xml:space="preserve">Days of Inv</t>
  </si>
  <si>
    <t xml:space="preserve">Capacity (tons)</t>
  </si>
  <si>
    <t xml:space="preserve">Utilization (%)</t>
  </si>
  <si>
    <t xml:space="preserve">Aged 90+ (%)</t>
  </si>
  <si>
    <t xml:space="preserve">Allentown Yard</t>
  </si>
  <si>
    <t xml:space="preserve">ALL</t>
  </si>
  <si>
    <t xml:space="preserve">Baltimore Yard</t>
  </si>
  <si>
    <t xml:space="preserve">BAL</t>
  </si>
  <si>
    <t xml:space="preserve">Camden Main Yard</t>
  </si>
  <si>
    <t xml:space="preserve">CAM</t>
  </si>
  <si>
    <t xml:space="preserve">Newark Yard</t>
  </si>
  <si>
    <t xml:space="preserve">NWK</t>
  </si>
  <si>
    <t xml:space="preserve">Philadelphia Yard</t>
  </si>
  <si>
    <t xml:space="preserve">PHL</t>
  </si>
  <si>
    <t xml:space="preserve">Reading Yard</t>
  </si>
  <si>
    <t xml:space="preserve">REA</t>
  </si>
  <si>
    <t xml:space="preserve">Trenton Yard</t>
  </si>
  <si>
    <t xml:space="preserve">TRE</t>
  </si>
  <si>
    <t xml:space="preserve">Wilmington Yard</t>
  </si>
  <si>
    <t xml:space="preserve">WIL</t>
  </si>
  <si>
    <t xml:space="preserve">TOTAL</t>
  </si>
  <si>
    <t xml:space="preserve">Inventory KPIs by Metal Group</t>
  </si>
  <si>
    <t xml:space="preserve">Metal Group</t>
  </si>
  <si>
    <t xml:space="preserve"># Grades</t>
  </si>
  <si>
    <t xml:space="preserve"># Yards</t>
  </si>
  <si>
    <t xml:space="preserve">Copper</t>
  </si>
  <si>
    <t xml:space="preserve">Aluminum</t>
  </si>
  <si>
    <t xml:space="preserve">Brass</t>
  </si>
  <si>
    <t xml:space="preserve">Stainless</t>
  </si>
  <si>
    <t xml:space="preserve">Ferrous</t>
  </si>
  <si>
    <t xml:space="preserve">Inventory Aging by Yard and Grade</t>
  </si>
  <si>
    <t xml:space="preserve">As of September 2026 — system month-end snapshot</t>
  </si>
  <si>
    <t xml:space="preserve">Grade ID</t>
  </si>
  <si>
    <t xml:space="preserve">Grade Name</t>
  </si>
  <si>
    <t xml:space="preserve">AL-01</t>
  </si>
  <si>
    <t xml:space="preserve">6063 Extrusions</t>
  </si>
  <si>
    <t xml:space="preserve">AL-02</t>
  </si>
  <si>
    <t xml:space="preserve">6061 Extrusions</t>
  </si>
  <si>
    <t xml:space="preserve">AL-03</t>
  </si>
  <si>
    <t xml:space="preserve">Clean Aluminum Sheet</t>
  </si>
  <si>
    <t xml:space="preserve">AL-05</t>
  </si>
  <si>
    <t xml:space="preserve">Aluminum Wheels</t>
  </si>
  <si>
    <t xml:space="preserve">AL-06</t>
  </si>
  <si>
    <t xml:space="preserve">Used Beverage Cans</t>
  </si>
  <si>
    <t xml:space="preserve">AL-08</t>
  </si>
  <si>
    <t xml:space="preserve">Aluminum Siding</t>
  </si>
  <si>
    <t xml:space="preserve">AL-09</t>
  </si>
  <si>
    <t xml:space="preserve">Painted Aluminum Sheet</t>
  </si>
  <si>
    <t xml:space="preserve">CU-01</t>
  </si>
  <si>
    <t xml:space="preserve">Bare Bright Copper</t>
  </si>
  <si>
    <t xml:space="preserve">CU-03</t>
  </si>
  <si>
    <t xml:space="preserve">#2 Copper</t>
  </si>
  <si>
    <t xml:space="preserve">CU-04</t>
  </si>
  <si>
    <t xml:space="preserve">Insulated Copper Wire</t>
  </si>
  <si>
    <t xml:space="preserve">CU-05</t>
  </si>
  <si>
    <t xml:space="preserve">Copper Turnings</t>
  </si>
  <si>
    <t xml:space="preserve">CU-06</t>
  </si>
  <si>
    <t xml:space="preserve">Copper Transformers</t>
  </si>
  <si>
    <t xml:space="preserve">CU-07</t>
  </si>
  <si>
    <t xml:space="preserve">Copper Motors</t>
  </si>
  <si>
    <t xml:space="preserve">FE-01</t>
  </si>
  <si>
    <t xml:space="preserve">HMS 1</t>
  </si>
  <si>
    <t xml:space="preserve">FE-04</t>
  </si>
  <si>
    <t xml:space="preserve">Shredded Steel</t>
  </si>
  <si>
    <t xml:space="preserve">FE-07</t>
  </si>
  <si>
    <t xml:space="preserve">Cast Iron</t>
  </si>
  <si>
    <t xml:space="preserve">FE-09</t>
  </si>
  <si>
    <t xml:space="preserve">#1 Bundles</t>
  </si>
  <si>
    <t xml:space="preserve">SS-01</t>
  </si>
  <si>
    <t xml:space="preserve">304 Stainless Solids</t>
  </si>
  <si>
    <t xml:space="preserve">SS-02</t>
  </si>
  <si>
    <t xml:space="preserve">304 Stainless Turnings</t>
  </si>
  <si>
    <t xml:space="preserve">SS-03</t>
  </si>
  <si>
    <t xml:space="preserve">316 Stainless Solids</t>
  </si>
  <si>
    <t xml:space="preserve">SS-04</t>
  </si>
  <si>
    <t xml:space="preserve">316 Stainless Turnings</t>
  </si>
  <si>
    <t xml:space="preserve">SS-05</t>
  </si>
  <si>
    <t xml:space="preserve">430 Stainless Solids</t>
  </si>
  <si>
    <t xml:space="preserve">SS-08</t>
  </si>
  <si>
    <t xml:space="preserve">Mixed Stainless</t>
  </si>
  <si>
    <t xml:space="preserve">AL-04</t>
  </si>
  <si>
    <t xml:space="preserve">Cast Aluminum</t>
  </si>
  <si>
    <t xml:space="preserve">AL-07</t>
  </si>
  <si>
    <t xml:space="preserve">Clean Aluminum Turnings</t>
  </si>
  <si>
    <t xml:space="preserve">BR-01</t>
  </si>
  <si>
    <t xml:space="preserve">Yellow Brass</t>
  </si>
  <si>
    <t xml:space="preserve">BR-05</t>
  </si>
  <si>
    <t xml:space="preserve">Brass Radiators</t>
  </si>
  <si>
    <t xml:space="preserve">BR-06</t>
  </si>
  <si>
    <t xml:space="preserve">Heavy Brass</t>
  </si>
  <si>
    <t xml:space="preserve">BR-07</t>
  </si>
  <si>
    <t xml:space="preserve">Bronze</t>
  </si>
  <si>
    <t xml:space="preserve">CU-02</t>
  </si>
  <si>
    <t xml:space="preserve">#1 Copper</t>
  </si>
  <si>
    <t xml:space="preserve">FE-02</t>
  </si>
  <si>
    <t xml:space="preserve">HMS 2</t>
  </si>
  <si>
    <t xml:space="preserve">FE-03</t>
  </si>
  <si>
    <t xml:space="preserve">HMS 1&amp;2 80/20</t>
  </si>
  <si>
    <t xml:space="preserve">FE-05</t>
  </si>
  <si>
    <t xml:space="preserve">Busheling</t>
  </si>
  <si>
    <t xml:space="preserve">FE-06</t>
  </si>
  <si>
    <t xml:space="preserve">Plate &amp; Structural</t>
  </si>
  <si>
    <t xml:space="preserve">FE-08</t>
  </si>
  <si>
    <t xml:space="preserve">Steel Turnings</t>
  </si>
  <si>
    <t xml:space="preserve">SS-06</t>
  </si>
  <si>
    <t xml:space="preserve">18-8 Stainless Sheet</t>
  </si>
  <si>
    <t xml:space="preserve">SS-07</t>
  </si>
  <si>
    <t xml:space="preserve">Stainless Sinks</t>
  </si>
  <si>
    <t xml:space="preserve">BR-02</t>
  </si>
  <si>
    <t xml:space="preserve">Red Brass</t>
  </si>
  <si>
    <t xml:space="preserve">BR-03</t>
  </si>
  <si>
    <t xml:space="preserve">Brass Turnings</t>
  </si>
  <si>
    <t xml:space="preserve">BR-04</t>
  </si>
  <si>
    <t xml:space="preserve">Brass Shells</t>
  </si>
  <si>
    <t xml:space="preserve">Legend:</t>
  </si>
  <si>
    <t xml:space="preserve">  Red = &gt;20% of tons aged 90+ days</t>
  </si>
  <si>
    <t xml:space="preserve">  Yellow = has tons aged 61+ days</t>
  </si>
  <si>
    <t xml:space="preserve">Buy/Sell Margin Analysis by Grade</t>
  </si>
  <si>
    <t xml:space="preserve">Prices as of 2026-09-30</t>
  </si>
  <si>
    <t xml:space="preserve">Tons Held</t>
  </si>
  <si>
    <t xml:space="preserve">Buy Price ($/ton)</t>
  </si>
  <si>
    <t xml:space="preserve">Sell Price ($/ton)</t>
  </si>
  <si>
    <t xml:space="preserve">Spread ($/ton)</t>
  </si>
  <si>
    <t xml:space="preserve">Spread (%)</t>
  </si>
  <si>
    <t xml:space="preserve">30-Day Price Trend</t>
  </si>
  <si>
    <t xml:space="preserve">Exposure ($)</t>
  </si>
  <si>
    <t xml:space="preserve">At-Risk Inventory — Material to Move</t>
  </si>
  <si>
    <t xml:space="preserve">As of September 2026 — items scoring 2+ on risk factors</t>
  </si>
  <si>
    <t xml:space="preserve">Gain/Loss ($)</t>
  </si>
  <si>
    <t xml:space="preserve">Tons 61-90d</t>
  </si>
  <si>
    <t xml:space="preserve">Tons 90+ d</t>
  </si>
  <si>
    <t xml:space="preserve">Aged %</t>
  </si>
  <si>
    <t xml:space="preserve">Risk Score</t>
  </si>
  <si>
    <t xml:space="preserve">Risk Flags</t>
  </si>
  <si>
    <t xml:space="preserve">Recommended Action</t>
  </si>
  <si>
    <t xml:space="preserve">High aging (&gt;20% over 90 days); 167.6 tons over 90 days; 41.2 tons at 61-90 days (approaching aged)</t>
  </si>
  <si>
    <t xml:space="preserve">Priority: move to Sales for immediate disposal</t>
  </si>
  <si>
    <t xml:space="preserve">High aging (&gt;20% over 90 days); 250.1 tons over 90 days; 65.1 tons at 61-90 days (approaching aged)</t>
  </si>
  <si>
    <t xml:space="preserve">High aging (&gt;20% over 90 days); 664.8 tons over 90 days; 234.0 tons at 61-90 days (approaching aged)</t>
  </si>
  <si>
    <t xml:space="preserve">High aging (&gt;20% over 90 days); 218.3 tons over 90 days; 52.8 tons at 61-90 days (approaching aged)</t>
  </si>
  <si>
    <t xml:space="preserve">High aging (&gt;20% over 90 days); 76.8 tons over 90 days; 76.9 tons at 61-90 days (approaching aged)</t>
  </si>
  <si>
    <t xml:space="preserve">High aging (&gt;20% over 90 days); 533.2 tons over 90 days; 165.5 tons at 61-90 days (approaching aged)</t>
  </si>
  <si>
    <t xml:space="preserve">High aging (&gt;20% over 90 days); 343.4 tons over 90 days; 69.2 tons at 61-90 days (approaching aged)</t>
  </si>
  <si>
    <t xml:space="preserve">High aging (&gt;20% over 90 days); 548.2 tons over 90 days; 76.7 tons at 61-90 days (approaching aged)</t>
  </si>
  <si>
    <t xml:space="preserve">High aging (&gt;20% over 90 days); 131.8 tons over 90 days; 76.2 tons at 61-90 days (approaching aged)</t>
  </si>
  <si>
    <t xml:space="preserve">High aging (&gt;20% over 90 days); 177.5 tons over 90 days; 58.9 tons at 61-90 days (approaching aged)</t>
  </si>
  <si>
    <t xml:space="preserve">High aging (&gt;20% over 90 days); 80.7 tons over 90 days; 54.9 tons at 61-90 days (approaching aged)</t>
  </si>
  <si>
    <t xml:space="preserve">High aging (&gt;20% over 90 days); 465.6 tons over 90 days; 196.2 tons at 61-90 days (approaching aged)</t>
  </si>
  <si>
    <t xml:space="preserve">High aging (&gt;20% over 90 days); 34.2 tons over 90 days; 35.6 tons at 61-90 days (approaching aged)</t>
  </si>
  <si>
    <t xml:space="preserve">High aging (&gt;20% over 90 days); 22.5 tons over 90 days; 5.9 tons at 61-90 days (approaching aged)</t>
  </si>
  <si>
    <t xml:space="preserve">9.1 tons over 90 days; 20.6 tons at 61-90 days (approaching aged)</t>
  </si>
  <si>
    <t xml:space="preserve">Monitor: schedule for next shipment cycle</t>
  </si>
  <si>
    <t xml:space="preserve">13.5 tons over 90 days; 29.0 tons at 61-90 days (approaching aged)</t>
  </si>
  <si>
    <t xml:space="preserve">26.7 tons over 90 days; 70.3 tons at 61-90 days (approaching aged)</t>
  </si>
  <si>
    <t xml:space="preserve">Summary:</t>
  </si>
  <si>
    <t xml:space="preserve">  17 yard-grade positions flagged</t>
  </si>
  <si>
    <t xml:space="preserve">  7,739 total tons at risk</t>
  </si>
  <si>
    <t xml:space="preserve">  14 priority items for immediate action</t>
  </si>
  <si>
    <t xml:space="preserve">Risk scoring:</t>
  </si>
  <si>
    <t xml:space="preserve">  +3 = &gt;20% of tons aged 90+ days</t>
  </si>
  <si>
    <t xml:space="preserve">  +2 = market value below book value</t>
  </si>
  <si>
    <t xml:space="preserve">  +1 = any tons over 90 days</t>
  </si>
  <si>
    <t xml:space="preserve">  +1 = &gt;5 tons at 61-90 days</t>
  </si>
  <si>
    <t xml:space="preserve">Monthly KPI Trends</t>
  </si>
  <si>
    <t xml:space="preserve">October 2024 – September 2026 (24 months)</t>
  </si>
  <si>
    <t xml:space="preserve">Month</t>
  </si>
  <si>
    <t xml:space="preserve">Tons Received</t>
  </si>
  <si>
    <t xml:space="preserve">Tons Shipped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</si>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</sst>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#,##0.0"/>
    <numFmt numFmtId="168" formatCode="0.0%"/>
    <numFmt numFmtId="169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EEF7"/>
        <bgColor rgb="FFF2F7FB"/>
      </patternFill>
    </fill>
    <fill>
      <patternFill patternType="solid">
        <fgColor rgb="FF1F3864"/>
        <bgColor rgb="FF333333"/>
      </patternFill>
    </fill>
    <fill>
      <patternFill patternType="solid">
        <fgColor rgb="FFF2F7FB"/>
        <bgColor rgb="FFE8EEF7"/>
      </patternFill>
    </fill>
    <fill>
      <patternFill patternType="solid">
        <fgColor rgb="FFFDE8E8"/>
        <bgColor rgb="FFFFF3CD"/>
      </patternFill>
    </fill>
    <fill>
      <patternFill patternType="solid">
        <fgColor rgb="FFFFF3CD"/>
        <bgColor rgb="FFFD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3CD"/>
      <rgbColor rgb="FFE8EEF7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CCFFCC"/>
      <rgbColor rgb="FFFDE8E8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4" t="s">
        <v>22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23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24</v>
      </c>
      <c r="C4" s="6" t="s">
        <v>25</v>
      </c>
      <c r="E4" s="6" t="s">
        <v>26</v>
      </c>
    </row>
    <row r="5" customFormat="false" ht="17.35" hidden="false" customHeight="false" outlineLevel="0" collapsed="false">
      <c r="A5" s="7" t="n">
        <v>58772.89</v>
      </c>
      <c r="B5" s="7"/>
      <c r="C5" s="8" t="n">
        <v>61015453.67</v>
      </c>
      <c r="D5" s="8"/>
      <c r="E5" s="8" t="n">
        <v>69611252.26</v>
      </c>
      <c r="F5" s="8"/>
    </row>
    <row r="7" customFormat="false" ht="15" hidden="false" customHeight="false" outlineLevel="0" collapsed="false">
      <c r="A7" s="6" t="s">
        <v>27</v>
      </c>
      <c r="C7" s="6" t="s">
        <v>28</v>
      </c>
      <c r="E7" s="6" t="s">
        <v>29</v>
      </c>
    </row>
    <row r="8" customFormat="false" ht="17.35" hidden="false" customHeight="false" outlineLevel="0" collapsed="false">
      <c r="A8" s="9" t="n">
        <v>24.1603643967071</v>
      </c>
      <c r="B8" s="9"/>
      <c r="C8" s="9" t="n">
        <v>15.1073880346667</v>
      </c>
      <c r="D8" s="9"/>
      <c r="E8" s="10" t="n">
        <v>0.691445764705883</v>
      </c>
      <c r="F8" s="10"/>
    </row>
    <row r="10" customFormat="false" ht="15" hidden="false" customHeight="false" outlineLevel="0" collapsed="false">
      <c r="A10" s="6" t="s">
        <v>30</v>
      </c>
      <c r="C10" s="6" t="s">
        <v>31</v>
      </c>
      <c r="E10" s="6" t="s">
        <v>32</v>
      </c>
    </row>
    <row r="11" customFormat="false" ht="17.35" hidden="false" customHeight="false" outlineLevel="0" collapsed="false">
      <c r="A11" s="11" t="n">
        <v>150.90147096561</v>
      </c>
      <c r="B11" s="11"/>
      <c r="C11" s="8" t="n">
        <v>8595798.59</v>
      </c>
      <c r="D11" s="8"/>
      <c r="E11" s="7" t="n">
        <v>-5339.8</v>
      </c>
      <c r="F11" s="7"/>
    </row>
    <row r="14" customFormat="false" ht="16.15" hidden="false" customHeight="false" outlineLevel="0" collapsed="false">
      <c r="A14" s="12" t="s">
        <v>33</v>
      </c>
    </row>
    <row r="15" customFormat="false" ht="15" hidden="false" customHeight="false" outlineLevel="0" collapsed="false">
      <c r="A15" s="13" t="s">
        <v>34</v>
      </c>
      <c r="B15" s="13" t="s">
        <v>35</v>
      </c>
      <c r="C15" s="13" t="s">
        <v>36</v>
      </c>
    </row>
    <row r="16" customFormat="false" ht="15" hidden="false" customHeight="false" outlineLevel="0" collapsed="false">
      <c r="A16" s="14" t="s">
        <v>37</v>
      </c>
      <c r="B16" s="15" t="n">
        <v>50237.58</v>
      </c>
      <c r="C16" s="16" t="n">
        <v>0.854774709904515</v>
      </c>
    </row>
    <row r="17" customFormat="false" ht="15" hidden="false" customHeight="false" outlineLevel="0" collapsed="false">
      <c r="A17" s="17" t="s">
        <v>38</v>
      </c>
      <c r="B17" s="18" t="n">
        <v>2915.97</v>
      </c>
      <c r="C17" s="19" t="n">
        <v>0.0496142013775399</v>
      </c>
    </row>
    <row r="18" customFormat="false" ht="15" hidden="false" customHeight="false" outlineLevel="0" collapsed="false">
      <c r="A18" s="14" t="s">
        <v>39</v>
      </c>
      <c r="B18" s="15" t="n">
        <v>1855.35</v>
      </c>
      <c r="C18" s="16" t="n">
        <v>0.031568126052675</v>
      </c>
    </row>
    <row r="19" customFormat="false" ht="15" hidden="false" customHeight="false" outlineLevel="0" collapsed="false">
      <c r="A19" s="17" t="s">
        <v>40</v>
      </c>
      <c r="B19" s="18" t="n">
        <v>3763.99</v>
      </c>
      <c r="C19" s="19" t="n">
        <v>0.0640429626652696</v>
      </c>
    </row>
    <row r="20" customFormat="false" ht="15" hidden="false" customHeight="false" outlineLevel="0" collapsed="false">
      <c r="A20" s="20" t="s">
        <v>41</v>
      </c>
      <c r="B20" s="21" t="n">
        <v>58772.89</v>
      </c>
      <c r="C20" s="22" t="n">
        <v>1</v>
      </c>
    </row>
    <row r="22" customFormat="false" ht="15" hidden="false" customHeight="false" outlineLevel="0" collapsed="false">
      <c r="A22" s="23" t="s">
        <v>42</v>
      </c>
    </row>
  </sheetData>
  <mergeCells count="11">
    <mergeCell ref="A1:F1"/>
    <mergeCell ref="A2:F2"/>
    <mergeCell ref="A5:B5"/>
    <mergeCell ref="C5:D5"/>
    <mergeCell ref="E5:F5"/>
    <mergeCell ref="A8:B8"/>
    <mergeCell ref="C8:D8"/>
    <mergeCell ref="E8:F8"/>
    <mergeCell ref="A11:B11"/>
    <mergeCell ref="C11:D11"/>
    <mergeCell ref="E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9" min="5" style="0" width="20"/>
    <col collapsed="false" customWidth="true" hidden="false" outlineLevel="0" max="10" min="10" style="0" width="17"/>
    <col collapsed="false" customWidth="true" hidden="false" outlineLevel="0" max="15" min="11" style="0" width="20"/>
    <col collapsed="false" customWidth="true" hidden="false" outlineLevel="0" max="16" min="16" style="0" width="22"/>
  </cols>
  <sheetData>
    <row r="1" customFormat="false" ht="19.7" hidden="false" customHeight="false" outlineLevel="0" collapsed="false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15" hidden="false" customHeight="false" outlineLevel="0" collapsed="false">
      <c r="A2" s="6" t="s">
        <v>44</v>
      </c>
    </row>
    <row r="4" customFormat="false" ht="15" hidden="false" customHeight="false" outlineLevel="0" collapsed="false">
      <c r="A4" s="13" t="s">
        <v>45</v>
      </c>
      <c r="B4" s="13" t="s">
        <v>46</v>
      </c>
      <c r="C4" s="13" t="s">
        <v>47</v>
      </c>
      <c r="D4" s="13" t="s">
        <v>32</v>
      </c>
      <c r="E4" s="13" t="s">
        <v>48</v>
      </c>
      <c r="F4" s="13" t="s">
        <v>49</v>
      </c>
      <c r="G4" s="13" t="s">
        <v>50</v>
      </c>
      <c r="H4" s="13" t="s">
        <v>51</v>
      </c>
      <c r="I4" s="13" t="s">
        <v>52</v>
      </c>
      <c r="J4" s="13" t="s">
        <v>53</v>
      </c>
      <c r="K4" s="13" t="s">
        <v>54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55</v>
      </c>
    </row>
    <row r="5" customFormat="false" ht="15" hidden="false" customHeight="false" outlineLevel="0" collapsed="false">
      <c r="A5" s="14" t="s">
        <v>56</v>
      </c>
      <c r="B5" s="14" t="s">
        <v>57</v>
      </c>
      <c r="C5" s="15" t="n">
        <v>3886.82</v>
      </c>
      <c r="D5" s="15" t="n">
        <v>-726.790000000001</v>
      </c>
      <c r="E5" s="24" t="n">
        <v>3760483.32</v>
      </c>
      <c r="F5" s="24" t="n">
        <v>4375762.1</v>
      </c>
      <c r="G5" s="24" t="n">
        <v>615278.780000001</v>
      </c>
      <c r="H5" s="15" t="n">
        <v>18.5146330609939</v>
      </c>
      <c r="I5" s="15" t="n">
        <v>19.7141363157216</v>
      </c>
      <c r="J5" s="25" t="n">
        <v>6500</v>
      </c>
      <c r="K5" s="16" t="n">
        <v>0.597972307692308</v>
      </c>
      <c r="L5" s="15" t="n">
        <v>2942.65</v>
      </c>
      <c r="M5" s="15" t="n">
        <v>286.94</v>
      </c>
      <c r="N5" s="15" t="n">
        <v>216.94</v>
      </c>
      <c r="O5" s="15" t="n">
        <v>440.29</v>
      </c>
      <c r="P5" s="16" t="n">
        <v>0.113277692303734</v>
      </c>
    </row>
    <row r="6" customFormat="false" ht="15" hidden="false" customHeight="false" outlineLevel="0" collapsed="false">
      <c r="A6" s="17" t="s">
        <v>58</v>
      </c>
      <c r="B6" s="17" t="s">
        <v>59</v>
      </c>
      <c r="C6" s="18" t="n">
        <v>10974.72</v>
      </c>
      <c r="D6" s="18" t="n">
        <v>-541.349999999997</v>
      </c>
      <c r="E6" s="26" t="n">
        <v>11376129.25</v>
      </c>
      <c r="F6" s="26" t="n">
        <v>13051982.33</v>
      </c>
      <c r="G6" s="26" t="n">
        <v>1675853.08</v>
      </c>
      <c r="H6" s="18" t="n">
        <v>21.8685243018966</v>
      </c>
      <c r="I6" s="18" t="n">
        <v>16.6906552523228</v>
      </c>
      <c r="J6" s="27" t="n">
        <v>15100</v>
      </c>
      <c r="K6" s="19" t="n">
        <v>0.726802649006623</v>
      </c>
      <c r="L6" s="18" t="n">
        <v>8923.74</v>
      </c>
      <c r="M6" s="18" t="n">
        <v>626.33</v>
      </c>
      <c r="N6" s="18" t="n">
        <v>464.78</v>
      </c>
      <c r="O6" s="18" t="n">
        <v>959.87</v>
      </c>
      <c r="P6" s="19" t="n">
        <v>0.0874619124679263</v>
      </c>
    </row>
    <row r="7" customFormat="false" ht="15" hidden="false" customHeight="false" outlineLevel="0" collapsed="false">
      <c r="A7" s="14" t="s">
        <v>60</v>
      </c>
      <c r="B7" s="14" t="s">
        <v>61</v>
      </c>
      <c r="C7" s="15" t="n">
        <v>16584.93</v>
      </c>
      <c r="D7" s="15" t="n">
        <v>1890.79</v>
      </c>
      <c r="E7" s="24" t="n">
        <v>17877190.04</v>
      </c>
      <c r="F7" s="24" t="n">
        <v>20538473.8</v>
      </c>
      <c r="G7" s="24" t="n">
        <v>2661283.76</v>
      </c>
      <c r="H7" s="15" t="n">
        <v>23.9914469143236</v>
      </c>
      <c r="I7" s="15" t="n">
        <v>15.2137551896499</v>
      </c>
      <c r="J7" s="25" t="n">
        <v>20900</v>
      </c>
      <c r="K7" s="16" t="n">
        <v>0.793537320574163</v>
      </c>
      <c r="L7" s="15" t="n">
        <v>13734.22</v>
      </c>
      <c r="M7" s="15" t="n">
        <v>830.86</v>
      </c>
      <c r="N7" s="15" t="n">
        <v>463.26</v>
      </c>
      <c r="O7" s="15" t="n">
        <v>1556.59</v>
      </c>
      <c r="P7" s="16" t="n">
        <v>0.093855687060482</v>
      </c>
    </row>
    <row r="8" customFormat="false" ht="15" hidden="false" customHeight="false" outlineLevel="0" collapsed="false">
      <c r="A8" s="17" t="s">
        <v>62</v>
      </c>
      <c r="B8" s="17" t="s">
        <v>63</v>
      </c>
      <c r="C8" s="18" t="n">
        <v>7001.57</v>
      </c>
      <c r="D8" s="18" t="n">
        <v>-1402.97</v>
      </c>
      <c r="E8" s="26" t="n">
        <v>7050722.96</v>
      </c>
      <c r="F8" s="26" t="n">
        <v>7879997.08</v>
      </c>
      <c r="G8" s="26" t="n">
        <v>829274.120000002</v>
      </c>
      <c r="H8" s="18" t="n">
        <v>29.1843617997415</v>
      </c>
      <c r="I8" s="18" t="n">
        <v>12.5066980222001</v>
      </c>
      <c r="J8" s="27" t="n">
        <v>10100</v>
      </c>
      <c r="K8" s="19" t="n">
        <v>0.693224752475248</v>
      </c>
      <c r="L8" s="18" t="n">
        <v>6756.32</v>
      </c>
      <c r="M8" s="18" t="n">
        <v>178.36</v>
      </c>
      <c r="N8" s="18" t="n">
        <v>66.89</v>
      </c>
      <c r="O8" s="18" t="n">
        <v>0</v>
      </c>
      <c r="P8" s="19" t="n">
        <v>0</v>
      </c>
    </row>
    <row r="9" customFormat="false" ht="15" hidden="false" customHeight="false" outlineLevel="0" collapsed="false">
      <c r="A9" s="14" t="s">
        <v>64</v>
      </c>
      <c r="B9" s="14" t="s">
        <v>65</v>
      </c>
      <c r="C9" s="15" t="n">
        <v>9598.58</v>
      </c>
      <c r="D9" s="15" t="n">
        <v>-2043.58</v>
      </c>
      <c r="E9" s="24" t="n">
        <v>10643469.57</v>
      </c>
      <c r="F9" s="24" t="n">
        <v>12044810.64</v>
      </c>
      <c r="G9" s="24" t="n">
        <v>1401341.07</v>
      </c>
      <c r="H9" s="15" t="n">
        <v>26.000766175754</v>
      </c>
      <c r="I9" s="15" t="n">
        <v>14.0380478610806</v>
      </c>
      <c r="J9" s="25" t="n">
        <v>14900</v>
      </c>
      <c r="K9" s="16" t="n">
        <v>0.6442</v>
      </c>
      <c r="L9" s="15" t="n">
        <v>8262.52</v>
      </c>
      <c r="M9" s="15" t="n">
        <v>527.26</v>
      </c>
      <c r="N9" s="15" t="n">
        <v>343.25</v>
      </c>
      <c r="O9" s="15" t="n">
        <v>465.55</v>
      </c>
      <c r="P9" s="16" t="n">
        <v>0.0485019659157917</v>
      </c>
    </row>
    <row r="10" customFormat="false" ht="15" hidden="false" customHeight="false" outlineLevel="0" collapsed="false">
      <c r="A10" s="17" t="s">
        <v>66</v>
      </c>
      <c r="B10" s="17" t="s">
        <v>67</v>
      </c>
      <c r="C10" s="18" t="n">
        <v>2941.12</v>
      </c>
      <c r="D10" s="18" t="n">
        <v>-807.8</v>
      </c>
      <c r="E10" s="26" t="n">
        <v>2644084.93</v>
      </c>
      <c r="F10" s="26" t="n">
        <v>3019980.64</v>
      </c>
      <c r="G10" s="26" t="n">
        <v>375895.71</v>
      </c>
      <c r="H10" s="18" t="n">
        <v>21.7622817368308</v>
      </c>
      <c r="I10" s="18" t="n">
        <v>16.772138345322</v>
      </c>
      <c r="J10" s="27" t="n">
        <v>4700</v>
      </c>
      <c r="K10" s="19" t="n">
        <v>0.625770212765958</v>
      </c>
      <c r="L10" s="18" t="n">
        <v>2530.97</v>
      </c>
      <c r="M10" s="18" t="n">
        <v>208.17</v>
      </c>
      <c r="N10" s="18" t="n">
        <v>140.99</v>
      </c>
      <c r="O10" s="18" t="n">
        <v>60.99</v>
      </c>
      <c r="P10" s="19" t="n">
        <v>0.0207369981503645</v>
      </c>
    </row>
    <row r="11" customFormat="false" ht="15" hidden="false" customHeight="false" outlineLevel="0" collapsed="false">
      <c r="A11" s="14" t="s">
        <v>68</v>
      </c>
      <c r="B11" s="14" t="s">
        <v>69</v>
      </c>
      <c r="C11" s="15" t="n">
        <v>3826.03</v>
      </c>
      <c r="D11" s="15" t="n">
        <v>-814.530000000001</v>
      </c>
      <c r="E11" s="24" t="n">
        <v>2939806.25</v>
      </c>
      <c r="F11" s="24" t="n">
        <v>3381534.71</v>
      </c>
      <c r="G11" s="24" t="n">
        <v>441728.46</v>
      </c>
      <c r="H11" s="15" t="n">
        <v>26.3191609619579</v>
      </c>
      <c r="I11" s="15" t="n">
        <v>13.8682232510214</v>
      </c>
      <c r="J11" s="25" t="n">
        <v>7000</v>
      </c>
      <c r="K11" s="16" t="n">
        <v>0.546575714285714</v>
      </c>
      <c r="L11" s="15" t="n">
        <v>3581.91</v>
      </c>
      <c r="M11" s="15" t="n">
        <v>68.92</v>
      </c>
      <c r="N11" s="15" t="n">
        <v>94.46</v>
      </c>
      <c r="O11" s="15" t="n">
        <v>80.74</v>
      </c>
      <c r="P11" s="16" t="n">
        <v>0.0211028141441651</v>
      </c>
    </row>
    <row r="12" customFormat="false" ht="15" hidden="false" customHeight="false" outlineLevel="0" collapsed="false">
      <c r="A12" s="17" t="s">
        <v>70</v>
      </c>
      <c r="B12" s="17" t="s">
        <v>71</v>
      </c>
      <c r="C12" s="18" t="n">
        <v>3959.12</v>
      </c>
      <c r="D12" s="18" t="n">
        <v>-893.569999999999</v>
      </c>
      <c r="E12" s="26" t="n">
        <v>4723567.35</v>
      </c>
      <c r="F12" s="26" t="n">
        <v>5318710.96</v>
      </c>
      <c r="G12" s="26" t="n">
        <v>595143.609999999</v>
      </c>
      <c r="H12" s="18" t="n">
        <v>21.4936342608359</v>
      </c>
      <c r="I12" s="18" t="n">
        <v>16.9817721642857</v>
      </c>
      <c r="J12" s="27" t="n">
        <v>5800</v>
      </c>
      <c r="K12" s="19" t="n">
        <v>0.682606896551724</v>
      </c>
      <c r="L12" s="18" t="n">
        <v>3505.25</v>
      </c>
      <c r="M12" s="18" t="n">
        <v>189.13</v>
      </c>
      <c r="N12" s="18" t="n">
        <v>64.78</v>
      </c>
      <c r="O12" s="18" t="n">
        <v>199.96</v>
      </c>
      <c r="P12" s="19" t="n">
        <v>0.0505061730889693</v>
      </c>
    </row>
    <row r="13" customFormat="false" ht="15" hidden="false" customHeight="false" outlineLevel="0" collapsed="false">
      <c r="A13" s="28" t="s">
        <v>72</v>
      </c>
      <c r="C13" s="29" t="n">
        <f aca="false">SUM(C5:C12)</f>
        <v>58772.89</v>
      </c>
      <c r="D13" s="29" t="n">
        <f aca="false">SUM(D5:D12)</f>
        <v>-5339.79999999999</v>
      </c>
      <c r="E13" s="30" t="n">
        <f aca="false">SUM(E5:E12)</f>
        <v>61015453.67</v>
      </c>
      <c r="F13" s="30" t="n">
        <f aca="false">SUM(F5:F12)</f>
        <v>69611252.26</v>
      </c>
      <c r="G13" s="30" t="n">
        <f aca="false">SUM(G5:G12)</f>
        <v>8595798.59</v>
      </c>
      <c r="H13" s="29" t="n">
        <f aca="false">AVERAGE(H5:H12)</f>
        <v>23.6418511515418</v>
      </c>
      <c r="I13" s="29" t="n">
        <f aca="false">AVERAGE(I5:I12)</f>
        <v>15.7231783002005</v>
      </c>
      <c r="J13" s="31" t="n">
        <f aca="false">SUM(J5:J12)</f>
        <v>85000</v>
      </c>
      <c r="K13" s="32" t="n">
        <f aca="false">AVERAGE(K5:K12)</f>
        <v>0.663836231668967</v>
      </c>
      <c r="L13" s="29" t="n">
        <f aca="false">SUM(L5:L12)</f>
        <v>50237.58</v>
      </c>
      <c r="M13" s="29" t="n">
        <f aca="false">SUM(M5:M12)</f>
        <v>2915.97</v>
      </c>
      <c r="N13" s="29" t="n">
        <f aca="false">SUM(N5:N12)</f>
        <v>1855.35</v>
      </c>
      <c r="O13" s="29" t="n">
        <f aca="false">SUM(O5:O12)</f>
        <v>3763.99</v>
      </c>
      <c r="P13" s="32" t="n">
        <f aca="false">AVERAGE(P5:P12)</f>
        <v>0.0544304053914291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O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6" min="5" style="0" width="20"/>
    <col collapsed="false" customWidth="true" hidden="false" outlineLevel="0" max="7" min="7" style="0" width="19"/>
    <col collapsed="false" customWidth="true" hidden="false" outlineLevel="0" max="13" min="8" style="0" width="20"/>
    <col collapsed="false" customWidth="true" hidden="false" outlineLevel="0" max="14" min="14" style="0" width="13"/>
    <col collapsed="false" customWidth="true" hidden="false" outlineLevel="0" max="15" min="15" style="0" width="22"/>
  </cols>
  <sheetData>
    <row r="1" customFormat="false" ht="19.7" hidden="false" customHeight="false" outlineLevel="0" collapsed="false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6" t="s">
        <v>44</v>
      </c>
    </row>
    <row r="4" customFormat="false" ht="15" hidden="false" customHeight="false" outlineLevel="0" collapsed="false">
      <c r="A4" s="13" t="s">
        <v>74</v>
      </c>
      <c r="B4" s="13" t="s">
        <v>47</v>
      </c>
      <c r="C4" s="13" t="s">
        <v>75</v>
      </c>
      <c r="D4" s="13" t="s">
        <v>76</v>
      </c>
      <c r="E4" s="13" t="s">
        <v>48</v>
      </c>
      <c r="F4" s="13" t="s">
        <v>49</v>
      </c>
      <c r="G4" s="13" t="s">
        <v>50</v>
      </c>
      <c r="H4" s="13" t="s">
        <v>30</v>
      </c>
      <c r="I4" s="13" t="s">
        <v>51</v>
      </c>
      <c r="J4" s="13" t="s">
        <v>52</v>
      </c>
      <c r="K4" s="13" t="s">
        <v>37</v>
      </c>
      <c r="L4" s="13" t="s">
        <v>38</v>
      </c>
      <c r="M4" s="13" t="s">
        <v>39</v>
      </c>
      <c r="N4" s="13" t="s">
        <v>40</v>
      </c>
      <c r="O4" s="13" t="s">
        <v>55</v>
      </c>
    </row>
    <row r="5" customFormat="false" ht="15" hidden="false" customHeight="false" outlineLevel="0" collapsed="false">
      <c r="A5" s="14" t="s">
        <v>77</v>
      </c>
      <c r="B5" s="15" t="n">
        <v>3067.4</v>
      </c>
      <c r="C5" s="25" t="n">
        <v>7</v>
      </c>
      <c r="D5" s="25" t="n">
        <v>8</v>
      </c>
      <c r="E5" s="24" t="n">
        <v>15978531.9</v>
      </c>
      <c r="F5" s="24" t="n">
        <v>16808034.2</v>
      </c>
      <c r="G5" s="24" t="n">
        <v>829502.300000001</v>
      </c>
      <c r="H5" s="33" t="n">
        <v>390.660762111234</v>
      </c>
      <c r="I5" s="15" t="n">
        <v>31.1985994237534</v>
      </c>
      <c r="J5" s="15" t="n">
        <v>11.6992431308344</v>
      </c>
      <c r="K5" s="15" t="n">
        <v>2697.27</v>
      </c>
      <c r="L5" s="15" t="n">
        <v>244.28</v>
      </c>
      <c r="M5" s="15" t="n">
        <v>112.35</v>
      </c>
      <c r="N5" s="15" t="n">
        <v>13.5</v>
      </c>
      <c r="O5" s="16" t="n">
        <v>0.0044011214709526</v>
      </c>
    </row>
    <row r="6" customFormat="false" ht="15" hidden="false" customHeight="false" outlineLevel="0" collapsed="false">
      <c r="A6" s="17" t="s">
        <v>78</v>
      </c>
      <c r="B6" s="18" t="n">
        <v>11006.18</v>
      </c>
      <c r="C6" s="27" t="n">
        <v>9</v>
      </c>
      <c r="D6" s="27" t="n">
        <v>8</v>
      </c>
      <c r="E6" s="26" t="n">
        <v>16839611.75</v>
      </c>
      <c r="F6" s="26" t="n">
        <v>19697058.88</v>
      </c>
      <c r="G6" s="26" t="n">
        <v>2857447.13</v>
      </c>
      <c r="H6" s="34" t="n">
        <v>219.757988957113</v>
      </c>
      <c r="I6" s="18" t="n">
        <v>8.21604275233957</v>
      </c>
      <c r="J6" s="18" t="n">
        <v>44.4252800286444</v>
      </c>
      <c r="K6" s="18" t="n">
        <v>6260.41</v>
      </c>
      <c r="L6" s="18" t="n">
        <v>1333.89</v>
      </c>
      <c r="M6" s="18" t="n">
        <v>1049.66</v>
      </c>
      <c r="N6" s="18" t="n">
        <v>2362.22</v>
      </c>
      <c r="O6" s="19" t="n">
        <v>0.214626691549657</v>
      </c>
    </row>
    <row r="7" customFormat="false" ht="15" hidden="false" customHeight="false" outlineLevel="0" collapsed="false">
      <c r="A7" s="14" t="s">
        <v>79</v>
      </c>
      <c r="B7" s="15" t="n">
        <v>2559.02</v>
      </c>
      <c r="C7" s="25" t="n">
        <v>7</v>
      </c>
      <c r="D7" s="25" t="n">
        <v>7</v>
      </c>
      <c r="E7" s="24" t="n">
        <v>12520893.48</v>
      </c>
      <c r="F7" s="24" t="n">
        <v>14141197.74</v>
      </c>
      <c r="G7" s="24" t="n">
        <v>1620304.26</v>
      </c>
      <c r="H7" s="33" t="n">
        <v>681.640551070332</v>
      </c>
      <c r="I7" s="15" t="n">
        <v>8.48754100956084</v>
      </c>
      <c r="J7" s="15" t="n">
        <v>43.0042104761372</v>
      </c>
      <c r="K7" s="15" t="n">
        <v>1413.24</v>
      </c>
      <c r="L7" s="15" t="n">
        <v>225.76</v>
      </c>
      <c r="M7" s="15" t="n">
        <v>204.01</v>
      </c>
      <c r="N7" s="15" t="n">
        <v>716.01</v>
      </c>
      <c r="O7" s="16" t="n">
        <v>0.279798516619643</v>
      </c>
    </row>
    <row r="8" customFormat="false" ht="15" hidden="false" customHeight="false" outlineLevel="0" collapsed="false">
      <c r="A8" s="17" t="s">
        <v>80</v>
      </c>
      <c r="B8" s="18" t="n">
        <v>5881.24</v>
      </c>
      <c r="C8" s="27" t="n">
        <v>8</v>
      </c>
      <c r="D8" s="27" t="n">
        <v>8</v>
      </c>
      <c r="E8" s="26" t="n">
        <v>4775458.07</v>
      </c>
      <c r="F8" s="26" t="n">
        <v>5669894.71</v>
      </c>
      <c r="G8" s="26" t="n">
        <v>894436.640000001</v>
      </c>
      <c r="H8" s="34" t="n">
        <v>160.925892464854</v>
      </c>
      <c r="I8" s="18" t="n">
        <v>8.47340350872329</v>
      </c>
      <c r="J8" s="18" t="n">
        <v>43.0759611086898</v>
      </c>
      <c r="K8" s="18" t="n">
        <v>3607.61</v>
      </c>
      <c r="L8" s="18" t="n">
        <v>1112.04</v>
      </c>
      <c r="M8" s="18" t="n">
        <v>489.33</v>
      </c>
      <c r="N8" s="18" t="n">
        <v>672.26</v>
      </c>
      <c r="O8" s="19" t="n">
        <v>0.114305826662405</v>
      </c>
    </row>
    <row r="9" customFormat="false" ht="15" hidden="false" customHeight="false" outlineLevel="0" collapsed="false">
      <c r="A9" s="14" t="s">
        <v>81</v>
      </c>
      <c r="B9" s="15" t="n">
        <v>36259.05</v>
      </c>
      <c r="C9" s="25" t="n">
        <v>9</v>
      </c>
      <c r="D9" s="25" t="n">
        <v>8</v>
      </c>
      <c r="E9" s="24" t="n">
        <v>10900958.47</v>
      </c>
      <c r="F9" s="24" t="n">
        <v>13295066.73</v>
      </c>
      <c r="G9" s="24" t="n">
        <v>2394108.26</v>
      </c>
      <c r="H9" s="33" t="n">
        <v>70.6342595986381</v>
      </c>
      <c r="I9" s="15" t="n">
        <v>31.1989983561452</v>
      </c>
      <c r="J9" s="15" t="n">
        <v>11.6990935360624</v>
      </c>
      <c r="K9" s="15" t="n">
        <v>36259.05</v>
      </c>
      <c r="L9" s="15" t="n">
        <v>0</v>
      </c>
      <c r="M9" s="15" t="n">
        <v>0</v>
      </c>
      <c r="N9" s="15" t="n">
        <v>0</v>
      </c>
      <c r="O9" s="16" t="n">
        <v>0</v>
      </c>
    </row>
    <row r="10" customFormat="false" ht="15" hidden="false" customHeight="false" outlineLevel="0" collapsed="false">
      <c r="A10" s="28" t="s">
        <v>72</v>
      </c>
      <c r="B10" s="29" t="n">
        <f aca="false">SUM(B5:B9)</f>
        <v>58772.89</v>
      </c>
      <c r="C10" s="31" t="n">
        <f aca="false">SUM(C5:C9)</f>
        <v>40</v>
      </c>
      <c r="D10" s="31" t="n">
        <f aca="false">SUM(D5:D9)</f>
        <v>39</v>
      </c>
      <c r="E10" s="30" t="n">
        <f aca="false">SUM(E5:E9)</f>
        <v>61015453.67</v>
      </c>
      <c r="F10" s="30" t="n">
        <f aca="false">SUM(F5:F9)</f>
        <v>69611252.26</v>
      </c>
      <c r="G10" s="30" t="n">
        <f aca="false">SUM(G5:G9)</f>
        <v>8595798.59</v>
      </c>
      <c r="H10" s="35" t="n">
        <f aca="false">AVERAGE(H5:H9)</f>
        <v>304.723890840434</v>
      </c>
      <c r="I10" s="29" t="n">
        <f aca="false">AVERAGE(I5:I9)</f>
        <v>17.5149170101045</v>
      </c>
      <c r="J10" s="29" t="n">
        <f aca="false">AVERAGE(J5:J9)</f>
        <v>30.7807576560736</v>
      </c>
      <c r="K10" s="29" t="n">
        <f aca="false">SUM(K5:K9)</f>
        <v>50237.58</v>
      </c>
      <c r="L10" s="29" t="n">
        <f aca="false">SUM(L5:L9)</f>
        <v>2915.97</v>
      </c>
      <c r="M10" s="29" t="n">
        <f aca="false">SUM(M5:M9)</f>
        <v>1855.35</v>
      </c>
      <c r="N10" s="29" t="n">
        <f aca="false">SUM(N5:N9)</f>
        <v>3763.99</v>
      </c>
      <c r="O10" s="32" t="n">
        <f aca="false">AVERAGE(O5:O9)</f>
        <v>0.122626431260531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M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21"/>
    <col collapsed="false" customWidth="true" hidden="false" outlineLevel="0" max="12" min="12" style="0" width="16"/>
    <col collapsed="false" customWidth="true" hidden="false" outlineLevel="0" max="13" min="13" style="0" width="18"/>
  </cols>
  <sheetData>
    <row r="1" customFormat="false" ht="19.7" hidden="false" customHeight="false" outlineLevel="0" collapsed="false">
      <c r="A1" s="4" t="s">
        <v>82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" hidden="false" customHeight="false" outlineLevel="0" collapsed="false">
      <c r="A2" s="6" t="s">
        <v>83</v>
      </c>
    </row>
    <row r="4" customFormat="false" ht="15" hidden="false" customHeight="false" outlineLevel="0" collapsed="false">
      <c r="A4" s="13" t="s">
        <v>45</v>
      </c>
      <c r="B4" s="13" t="s">
        <v>46</v>
      </c>
      <c r="C4" s="13" t="s">
        <v>84</v>
      </c>
      <c r="D4" s="13" t="s">
        <v>85</v>
      </c>
      <c r="E4" s="13" t="s">
        <v>74</v>
      </c>
      <c r="F4" s="13" t="s">
        <v>47</v>
      </c>
      <c r="G4" s="13" t="s">
        <v>37</v>
      </c>
      <c r="H4" s="13" t="s">
        <v>38</v>
      </c>
      <c r="I4" s="13" t="s">
        <v>39</v>
      </c>
      <c r="J4" s="13" t="s">
        <v>40</v>
      </c>
      <c r="K4" s="13" t="s">
        <v>55</v>
      </c>
      <c r="L4" s="13" t="s">
        <v>48</v>
      </c>
      <c r="M4" s="13" t="s">
        <v>49</v>
      </c>
    </row>
    <row r="5" customFormat="false" ht="15" hidden="false" customHeight="false" outlineLevel="0" collapsed="false">
      <c r="A5" s="14" t="s">
        <v>56</v>
      </c>
      <c r="B5" s="14" t="s">
        <v>57</v>
      </c>
      <c r="C5" s="14" t="s">
        <v>86</v>
      </c>
      <c r="D5" s="14" t="s">
        <v>87</v>
      </c>
      <c r="E5" s="14" t="s">
        <v>78</v>
      </c>
      <c r="F5" s="15" t="n">
        <v>145.61</v>
      </c>
      <c r="G5" s="15" t="n">
        <v>145.61</v>
      </c>
      <c r="H5" s="15" t="n">
        <v>0</v>
      </c>
      <c r="I5" s="15" t="n">
        <v>0</v>
      </c>
      <c r="J5" s="15" t="n">
        <v>0</v>
      </c>
      <c r="K5" s="16" t="n">
        <v>0</v>
      </c>
      <c r="L5" s="24" t="n">
        <v>254707.75</v>
      </c>
      <c r="M5" s="24" t="n">
        <v>284950.5</v>
      </c>
    </row>
    <row r="6" customFormat="false" ht="15" hidden="false" customHeight="false" outlineLevel="0" collapsed="false">
      <c r="A6" s="17" t="s">
        <v>56</v>
      </c>
      <c r="B6" s="17" t="s">
        <v>57</v>
      </c>
      <c r="C6" s="17" t="s">
        <v>88</v>
      </c>
      <c r="D6" s="17" t="s">
        <v>89</v>
      </c>
      <c r="E6" s="17" t="s">
        <v>78</v>
      </c>
      <c r="F6" s="18" t="n">
        <v>110.58</v>
      </c>
      <c r="G6" s="18" t="n">
        <v>110.58</v>
      </c>
      <c r="H6" s="18" t="n">
        <v>0</v>
      </c>
      <c r="I6" s="18" t="n">
        <v>0</v>
      </c>
      <c r="J6" s="18" t="n">
        <v>0</v>
      </c>
      <c r="K6" s="19" t="n">
        <v>0</v>
      </c>
      <c r="L6" s="26" t="n">
        <v>185904.58</v>
      </c>
      <c r="M6" s="26" t="n">
        <v>210945.16</v>
      </c>
    </row>
    <row r="7" customFormat="false" ht="15" hidden="false" customHeight="false" outlineLevel="0" collapsed="false">
      <c r="A7" s="14" t="s">
        <v>56</v>
      </c>
      <c r="B7" s="14" t="s">
        <v>57</v>
      </c>
      <c r="C7" s="14" t="s">
        <v>90</v>
      </c>
      <c r="D7" s="14" t="s">
        <v>91</v>
      </c>
      <c r="E7" s="14" t="s">
        <v>78</v>
      </c>
      <c r="F7" s="15" t="n">
        <v>30.44</v>
      </c>
      <c r="G7" s="15" t="n">
        <v>30.44</v>
      </c>
      <c r="H7" s="15" t="n">
        <v>0</v>
      </c>
      <c r="I7" s="15" t="n">
        <v>0</v>
      </c>
      <c r="J7" s="15" t="n">
        <v>0</v>
      </c>
      <c r="K7" s="16" t="n">
        <v>0</v>
      </c>
      <c r="L7" s="24" t="n">
        <v>49774.45</v>
      </c>
      <c r="M7" s="24" t="n">
        <v>56768.21</v>
      </c>
    </row>
    <row r="8" customFormat="false" ht="15" hidden="false" customHeight="false" outlineLevel="0" collapsed="false">
      <c r="A8" s="36" t="s">
        <v>56</v>
      </c>
      <c r="B8" s="36" t="s">
        <v>57</v>
      </c>
      <c r="C8" s="36" t="s">
        <v>92</v>
      </c>
      <c r="D8" s="36" t="s">
        <v>93</v>
      </c>
      <c r="E8" s="36" t="s">
        <v>78</v>
      </c>
      <c r="F8" s="37" t="n">
        <v>292.15</v>
      </c>
      <c r="G8" s="37" t="n">
        <v>30.82</v>
      </c>
      <c r="H8" s="37" t="n">
        <v>52.55</v>
      </c>
      <c r="I8" s="37" t="n">
        <v>41.17</v>
      </c>
      <c r="J8" s="37" t="n">
        <v>167.61</v>
      </c>
      <c r="K8" s="38" t="n">
        <v>0.573712134177649</v>
      </c>
      <c r="L8" s="39" t="n">
        <v>418451.51</v>
      </c>
      <c r="M8" s="39" t="n">
        <v>503429.77</v>
      </c>
    </row>
    <row r="9" customFormat="false" ht="15" hidden="false" customHeight="false" outlineLevel="0" collapsed="false">
      <c r="A9" s="36" t="s">
        <v>56</v>
      </c>
      <c r="B9" s="36" t="s">
        <v>57</v>
      </c>
      <c r="C9" s="36" t="s">
        <v>94</v>
      </c>
      <c r="D9" s="36" t="s">
        <v>95</v>
      </c>
      <c r="E9" s="36" t="s">
        <v>78</v>
      </c>
      <c r="F9" s="37" t="n">
        <v>445.75</v>
      </c>
      <c r="G9" s="37" t="n">
        <v>67.03</v>
      </c>
      <c r="H9" s="37" t="n">
        <v>63.53</v>
      </c>
      <c r="I9" s="37" t="n">
        <v>65.08</v>
      </c>
      <c r="J9" s="37" t="n">
        <v>250.11</v>
      </c>
      <c r="K9" s="38" t="n">
        <v>0.561099270891756</v>
      </c>
      <c r="L9" s="39" t="n">
        <v>611865.05</v>
      </c>
      <c r="M9" s="39" t="n">
        <v>745050.52</v>
      </c>
    </row>
    <row r="10" customFormat="false" ht="15" hidden="false" customHeight="false" outlineLevel="0" collapsed="false">
      <c r="A10" s="17" t="s">
        <v>56</v>
      </c>
      <c r="B10" s="17" t="s">
        <v>57</v>
      </c>
      <c r="C10" s="17" t="s">
        <v>96</v>
      </c>
      <c r="D10" s="17" t="s">
        <v>97</v>
      </c>
      <c r="E10" s="17" t="s">
        <v>78</v>
      </c>
      <c r="F10" s="18" t="n">
        <v>7.8</v>
      </c>
      <c r="G10" s="18" t="n">
        <v>7.8</v>
      </c>
      <c r="H10" s="18" t="n">
        <v>0</v>
      </c>
      <c r="I10" s="18" t="n">
        <v>0</v>
      </c>
      <c r="J10" s="18" t="n">
        <v>0</v>
      </c>
      <c r="K10" s="19" t="n">
        <v>0</v>
      </c>
      <c r="L10" s="26" t="n">
        <v>11350.64</v>
      </c>
      <c r="M10" s="26" t="n">
        <v>12700.02</v>
      </c>
    </row>
    <row r="11" customFormat="false" ht="15" hidden="false" customHeight="false" outlineLevel="0" collapsed="false">
      <c r="A11" s="40" t="s">
        <v>56</v>
      </c>
      <c r="B11" s="40" t="s">
        <v>57</v>
      </c>
      <c r="C11" s="40" t="s">
        <v>98</v>
      </c>
      <c r="D11" s="40" t="s">
        <v>99</v>
      </c>
      <c r="E11" s="40" t="s">
        <v>78</v>
      </c>
      <c r="F11" s="41" t="n">
        <v>138.42</v>
      </c>
      <c r="G11" s="41" t="n">
        <v>30.62</v>
      </c>
      <c r="H11" s="41" t="n">
        <v>52.58</v>
      </c>
      <c r="I11" s="41" t="n">
        <v>55.22</v>
      </c>
      <c r="J11" s="41" t="n">
        <v>0</v>
      </c>
      <c r="K11" s="42" t="n">
        <v>0</v>
      </c>
      <c r="L11" s="43" t="n">
        <v>194856.31</v>
      </c>
      <c r="M11" s="43" t="n">
        <v>237538.01</v>
      </c>
    </row>
    <row r="12" customFormat="false" ht="15" hidden="false" customHeight="false" outlineLevel="0" collapsed="false">
      <c r="A12" s="17" t="s">
        <v>56</v>
      </c>
      <c r="B12" s="17" t="s">
        <v>57</v>
      </c>
      <c r="C12" s="17" t="s">
        <v>100</v>
      </c>
      <c r="D12" s="17" t="s">
        <v>101</v>
      </c>
      <c r="E12" s="17" t="s">
        <v>77</v>
      </c>
      <c r="F12" s="18" t="n">
        <v>26.76</v>
      </c>
      <c r="G12" s="18" t="n">
        <v>26.76</v>
      </c>
      <c r="H12" s="18" t="n">
        <v>0</v>
      </c>
      <c r="I12" s="18" t="n">
        <v>0</v>
      </c>
      <c r="J12" s="18" t="n">
        <v>0</v>
      </c>
      <c r="K12" s="19" t="n">
        <v>0</v>
      </c>
      <c r="L12" s="26" t="n">
        <v>224481.59</v>
      </c>
      <c r="M12" s="26" t="n">
        <v>236243.83</v>
      </c>
    </row>
    <row r="13" customFormat="false" ht="15" hidden="false" customHeight="false" outlineLevel="0" collapsed="false">
      <c r="A13" s="14" t="s">
        <v>56</v>
      </c>
      <c r="B13" s="14" t="s">
        <v>57</v>
      </c>
      <c r="C13" s="14" t="s">
        <v>102</v>
      </c>
      <c r="D13" s="14" t="s">
        <v>103</v>
      </c>
      <c r="E13" s="14" t="s">
        <v>77</v>
      </c>
      <c r="F13" s="15" t="n">
        <v>32.56</v>
      </c>
      <c r="G13" s="15" t="n">
        <v>32.56</v>
      </c>
      <c r="H13" s="15" t="n">
        <v>0</v>
      </c>
      <c r="I13" s="15" t="n">
        <v>0</v>
      </c>
      <c r="J13" s="15" t="n">
        <v>0</v>
      </c>
      <c r="K13" s="16" t="n">
        <v>0</v>
      </c>
      <c r="L13" s="24" t="n">
        <v>252878.99</v>
      </c>
      <c r="M13" s="24" t="n">
        <v>265662.39</v>
      </c>
    </row>
    <row r="14" customFormat="false" ht="15" hidden="false" customHeight="false" outlineLevel="0" collapsed="false">
      <c r="A14" s="17" t="s">
        <v>56</v>
      </c>
      <c r="B14" s="17" t="s">
        <v>57</v>
      </c>
      <c r="C14" s="17" t="s">
        <v>104</v>
      </c>
      <c r="D14" s="17" t="s">
        <v>105</v>
      </c>
      <c r="E14" s="17" t="s">
        <v>77</v>
      </c>
      <c r="F14" s="18" t="n">
        <v>49.47</v>
      </c>
      <c r="G14" s="18" t="n">
        <v>49.47</v>
      </c>
      <c r="H14" s="18" t="n">
        <v>0</v>
      </c>
      <c r="I14" s="18" t="n">
        <v>0</v>
      </c>
      <c r="J14" s="18" t="n">
        <v>0</v>
      </c>
      <c r="K14" s="19" t="n">
        <v>0</v>
      </c>
      <c r="L14" s="26" t="n">
        <v>197209.23</v>
      </c>
      <c r="M14" s="26" t="n">
        <v>206594.35</v>
      </c>
    </row>
    <row r="15" customFormat="false" ht="15" hidden="false" customHeight="false" outlineLevel="0" collapsed="false">
      <c r="A15" s="14" t="s">
        <v>56</v>
      </c>
      <c r="B15" s="14" t="s">
        <v>57</v>
      </c>
      <c r="C15" s="14" t="s">
        <v>106</v>
      </c>
      <c r="D15" s="14" t="s">
        <v>107</v>
      </c>
      <c r="E15" s="14" t="s">
        <v>77</v>
      </c>
      <c r="F15" s="15" t="n">
        <v>15.28</v>
      </c>
      <c r="G15" s="15" t="n">
        <v>15.28</v>
      </c>
      <c r="H15" s="15" t="n">
        <v>0</v>
      </c>
      <c r="I15" s="15" t="n">
        <v>0</v>
      </c>
      <c r="J15" s="15" t="n">
        <v>0</v>
      </c>
      <c r="K15" s="16" t="n">
        <v>0</v>
      </c>
      <c r="L15" s="24" t="n">
        <v>107705.78</v>
      </c>
      <c r="M15" s="24" t="n">
        <v>113592.98</v>
      </c>
    </row>
    <row r="16" customFormat="false" ht="15" hidden="false" customHeight="false" outlineLevel="0" collapsed="false">
      <c r="A16" s="40" t="s">
        <v>56</v>
      </c>
      <c r="B16" s="40" t="s">
        <v>57</v>
      </c>
      <c r="C16" s="40" t="s">
        <v>108</v>
      </c>
      <c r="D16" s="40" t="s">
        <v>109</v>
      </c>
      <c r="E16" s="40" t="s">
        <v>77</v>
      </c>
      <c r="F16" s="41" t="n">
        <v>92.71</v>
      </c>
      <c r="G16" s="41" t="n">
        <v>23.64</v>
      </c>
      <c r="H16" s="41" t="n">
        <v>26.56</v>
      </c>
      <c r="I16" s="41" t="n">
        <v>29.01</v>
      </c>
      <c r="J16" s="41" t="n">
        <v>13.5</v>
      </c>
      <c r="K16" s="42" t="n">
        <v>0.14561535972387</v>
      </c>
      <c r="L16" s="43" t="n">
        <v>272917.81</v>
      </c>
      <c r="M16" s="43" t="n">
        <v>300775.62</v>
      </c>
    </row>
    <row r="17" customFormat="false" ht="15" hidden="false" customHeight="false" outlineLevel="0" collapsed="false">
      <c r="A17" s="14" t="s">
        <v>56</v>
      </c>
      <c r="B17" s="14" t="s">
        <v>57</v>
      </c>
      <c r="C17" s="14" t="s">
        <v>110</v>
      </c>
      <c r="D17" s="14" t="s">
        <v>111</v>
      </c>
      <c r="E17" s="14" t="s">
        <v>77</v>
      </c>
      <c r="F17" s="15" t="n">
        <v>18.96</v>
      </c>
      <c r="G17" s="15" t="n">
        <v>18.96</v>
      </c>
      <c r="H17" s="15" t="n">
        <v>0</v>
      </c>
      <c r="I17" s="15" t="n">
        <v>0</v>
      </c>
      <c r="J17" s="15" t="n">
        <v>0</v>
      </c>
      <c r="K17" s="16" t="n">
        <v>0</v>
      </c>
      <c r="L17" s="24" t="n">
        <v>41899.07</v>
      </c>
      <c r="M17" s="24" t="n">
        <v>43973.17</v>
      </c>
    </row>
    <row r="18" customFormat="false" ht="15" hidden="false" customHeight="false" outlineLevel="0" collapsed="false">
      <c r="A18" s="17" t="s">
        <v>56</v>
      </c>
      <c r="B18" s="17" t="s">
        <v>57</v>
      </c>
      <c r="C18" s="17" t="s">
        <v>112</v>
      </c>
      <c r="D18" s="17" t="s">
        <v>113</v>
      </c>
      <c r="E18" s="17" t="s">
        <v>81</v>
      </c>
      <c r="F18" s="18" t="n">
        <v>516.85</v>
      </c>
      <c r="G18" s="18" t="n">
        <v>516.85</v>
      </c>
      <c r="H18" s="18" t="n">
        <v>0</v>
      </c>
      <c r="I18" s="18" t="n">
        <v>0</v>
      </c>
      <c r="J18" s="18" t="n">
        <v>0</v>
      </c>
      <c r="K18" s="19" t="n">
        <v>0</v>
      </c>
      <c r="L18" s="26" t="n">
        <v>152686.44</v>
      </c>
      <c r="M18" s="26" t="n">
        <v>189044.89</v>
      </c>
    </row>
    <row r="19" customFormat="false" ht="15" hidden="false" customHeight="false" outlineLevel="0" collapsed="false">
      <c r="A19" s="14" t="s">
        <v>56</v>
      </c>
      <c r="B19" s="14" t="s">
        <v>57</v>
      </c>
      <c r="C19" s="14" t="s">
        <v>114</v>
      </c>
      <c r="D19" s="14" t="s">
        <v>115</v>
      </c>
      <c r="E19" s="14" t="s">
        <v>81</v>
      </c>
      <c r="F19" s="15" t="n">
        <v>1391.33</v>
      </c>
      <c r="G19" s="15" t="n">
        <v>1391.33</v>
      </c>
      <c r="H19" s="15" t="n">
        <v>0</v>
      </c>
      <c r="I19" s="15" t="n">
        <v>0</v>
      </c>
      <c r="J19" s="15" t="n">
        <v>0</v>
      </c>
      <c r="K19" s="16" t="n">
        <v>0</v>
      </c>
      <c r="L19" s="24" t="n">
        <v>408248.64</v>
      </c>
      <c r="M19" s="24" t="n">
        <v>520906.12</v>
      </c>
    </row>
    <row r="20" customFormat="false" ht="15" hidden="false" customHeight="false" outlineLevel="0" collapsed="false">
      <c r="A20" s="17" t="s">
        <v>56</v>
      </c>
      <c r="B20" s="17" t="s">
        <v>57</v>
      </c>
      <c r="C20" s="17" t="s">
        <v>116</v>
      </c>
      <c r="D20" s="17" t="s">
        <v>117</v>
      </c>
      <c r="E20" s="17" t="s">
        <v>81</v>
      </c>
      <c r="F20" s="18" t="n">
        <v>58.45</v>
      </c>
      <c r="G20" s="18" t="n">
        <v>58.45</v>
      </c>
      <c r="H20" s="18" t="n">
        <v>0</v>
      </c>
      <c r="I20" s="18" t="n">
        <v>0</v>
      </c>
      <c r="J20" s="18" t="n">
        <v>0</v>
      </c>
      <c r="K20" s="19" t="n">
        <v>0</v>
      </c>
      <c r="L20" s="26" t="n">
        <v>22761.98</v>
      </c>
      <c r="M20" s="26" t="n">
        <v>26607.08</v>
      </c>
    </row>
    <row r="21" customFormat="false" ht="15" hidden="false" customHeight="false" outlineLevel="0" collapsed="false">
      <c r="A21" s="14" t="s">
        <v>56</v>
      </c>
      <c r="B21" s="14" t="s">
        <v>57</v>
      </c>
      <c r="C21" s="14" t="s">
        <v>118</v>
      </c>
      <c r="D21" s="14" t="s">
        <v>119</v>
      </c>
      <c r="E21" s="14" t="s">
        <v>81</v>
      </c>
      <c r="F21" s="15" t="n">
        <v>133.25</v>
      </c>
      <c r="G21" s="15" t="n">
        <v>133.25</v>
      </c>
      <c r="H21" s="15" t="n">
        <v>0</v>
      </c>
      <c r="I21" s="15" t="n">
        <v>0</v>
      </c>
      <c r="J21" s="15" t="n">
        <v>0</v>
      </c>
      <c r="K21" s="16" t="n">
        <v>0</v>
      </c>
      <c r="L21" s="24" t="n">
        <v>43507.9</v>
      </c>
      <c r="M21" s="24" t="n">
        <v>52437.92</v>
      </c>
    </row>
    <row r="22" customFormat="false" ht="15" hidden="false" customHeight="false" outlineLevel="0" collapsed="false">
      <c r="A22" s="17" t="s">
        <v>56</v>
      </c>
      <c r="B22" s="17" t="s">
        <v>57</v>
      </c>
      <c r="C22" s="17" t="s">
        <v>120</v>
      </c>
      <c r="D22" s="17" t="s">
        <v>121</v>
      </c>
      <c r="E22" s="17" t="s">
        <v>80</v>
      </c>
      <c r="F22" s="18" t="n">
        <v>99.79</v>
      </c>
      <c r="G22" s="18" t="n">
        <v>99.79</v>
      </c>
      <c r="H22" s="18" t="n">
        <v>0</v>
      </c>
      <c r="I22" s="18" t="n">
        <v>0</v>
      </c>
      <c r="J22" s="18" t="n">
        <v>0</v>
      </c>
      <c r="K22" s="19" t="n">
        <v>0</v>
      </c>
      <c r="L22" s="26" t="n">
        <v>110936.93</v>
      </c>
      <c r="M22" s="26" t="n">
        <v>132825.33</v>
      </c>
    </row>
    <row r="23" customFormat="false" ht="15" hidden="false" customHeight="false" outlineLevel="0" collapsed="false">
      <c r="A23" s="14" t="s">
        <v>56</v>
      </c>
      <c r="B23" s="14" t="s">
        <v>57</v>
      </c>
      <c r="C23" s="14" t="s">
        <v>122</v>
      </c>
      <c r="D23" s="14" t="s">
        <v>123</v>
      </c>
      <c r="E23" s="14" t="s">
        <v>80</v>
      </c>
      <c r="F23" s="15" t="n">
        <v>48.47</v>
      </c>
      <c r="G23" s="15" t="n">
        <v>43.01</v>
      </c>
      <c r="H23" s="15" t="n">
        <v>5.46</v>
      </c>
      <c r="I23" s="15" t="n">
        <v>0</v>
      </c>
      <c r="J23" s="15" t="n">
        <v>0</v>
      </c>
      <c r="K23" s="16" t="n">
        <v>0</v>
      </c>
      <c r="L23" s="24" t="n">
        <v>45255.48</v>
      </c>
      <c r="M23" s="24" t="n">
        <v>51562.97</v>
      </c>
    </row>
    <row r="24" customFormat="false" ht="15" hidden="false" customHeight="false" outlineLevel="0" collapsed="false">
      <c r="A24" s="17" t="s">
        <v>56</v>
      </c>
      <c r="B24" s="17" t="s">
        <v>57</v>
      </c>
      <c r="C24" s="17" t="s">
        <v>124</v>
      </c>
      <c r="D24" s="17" t="s">
        <v>125</v>
      </c>
      <c r="E24" s="17" t="s">
        <v>80</v>
      </c>
      <c r="F24" s="18" t="n">
        <v>15.27</v>
      </c>
      <c r="G24" s="18" t="n">
        <v>15.27</v>
      </c>
      <c r="H24" s="18" t="n">
        <v>0</v>
      </c>
      <c r="I24" s="18" t="n">
        <v>0</v>
      </c>
      <c r="J24" s="18" t="n">
        <v>0</v>
      </c>
      <c r="K24" s="19" t="n">
        <v>0</v>
      </c>
      <c r="L24" s="26" t="n">
        <v>24332.67</v>
      </c>
      <c r="M24" s="26" t="n">
        <v>27219.32</v>
      </c>
    </row>
    <row r="25" customFormat="false" ht="15" hidden="false" customHeight="false" outlineLevel="0" collapsed="false">
      <c r="A25" s="40" t="s">
        <v>56</v>
      </c>
      <c r="B25" s="40" t="s">
        <v>57</v>
      </c>
      <c r="C25" s="40" t="s">
        <v>126</v>
      </c>
      <c r="D25" s="40" t="s">
        <v>127</v>
      </c>
      <c r="E25" s="40" t="s">
        <v>80</v>
      </c>
      <c r="F25" s="41" t="n">
        <v>54.23</v>
      </c>
      <c r="G25" s="41" t="n">
        <v>21.73</v>
      </c>
      <c r="H25" s="41" t="n">
        <v>2.85</v>
      </c>
      <c r="I25" s="41" t="n">
        <v>20.58</v>
      </c>
      <c r="J25" s="41" t="n">
        <v>9.07</v>
      </c>
      <c r="K25" s="42" t="n">
        <v>0.167250599299281</v>
      </c>
      <c r="L25" s="43" t="n">
        <v>63633.9</v>
      </c>
      <c r="M25" s="43" t="n">
        <v>79432.2</v>
      </c>
    </row>
    <row r="26" customFormat="false" ht="15" hidden="false" customHeight="false" outlineLevel="0" collapsed="false">
      <c r="A26" s="40" t="s">
        <v>56</v>
      </c>
      <c r="B26" s="40" t="s">
        <v>57</v>
      </c>
      <c r="C26" s="40" t="s">
        <v>128</v>
      </c>
      <c r="D26" s="40" t="s">
        <v>129</v>
      </c>
      <c r="E26" s="40" t="s">
        <v>80</v>
      </c>
      <c r="F26" s="41" t="n">
        <v>155.17</v>
      </c>
      <c r="G26" s="41" t="n">
        <v>65.88</v>
      </c>
      <c r="H26" s="41" t="n">
        <v>83.41</v>
      </c>
      <c r="I26" s="41" t="n">
        <v>5.88</v>
      </c>
      <c r="J26" s="41" t="n">
        <v>0</v>
      </c>
      <c r="K26" s="42" t="n">
        <v>0</v>
      </c>
      <c r="L26" s="43" t="n">
        <v>60127.3</v>
      </c>
      <c r="M26" s="43" t="n">
        <v>72015.95</v>
      </c>
    </row>
    <row r="27" customFormat="false" ht="15" hidden="false" customHeight="false" outlineLevel="0" collapsed="false">
      <c r="A27" s="14" t="s">
        <v>56</v>
      </c>
      <c r="B27" s="14" t="s">
        <v>57</v>
      </c>
      <c r="C27" s="14" t="s">
        <v>130</v>
      </c>
      <c r="D27" s="14" t="s">
        <v>131</v>
      </c>
      <c r="E27" s="14" t="s">
        <v>80</v>
      </c>
      <c r="F27" s="15" t="n">
        <v>7.52</v>
      </c>
      <c r="G27" s="15" t="n">
        <v>7.52</v>
      </c>
      <c r="H27" s="15" t="n">
        <v>0</v>
      </c>
      <c r="I27" s="15" t="n">
        <v>0</v>
      </c>
      <c r="J27" s="15" t="n">
        <v>0</v>
      </c>
      <c r="K27" s="16" t="n">
        <v>0</v>
      </c>
      <c r="L27" s="24" t="n">
        <v>4989.32</v>
      </c>
      <c r="M27" s="24" t="n">
        <v>5485.79</v>
      </c>
    </row>
    <row r="28" customFormat="false" ht="15" hidden="false" customHeight="false" outlineLevel="0" collapsed="false">
      <c r="A28" s="17" t="s">
        <v>58</v>
      </c>
      <c r="B28" s="17" t="s">
        <v>59</v>
      </c>
      <c r="C28" s="17" t="s">
        <v>86</v>
      </c>
      <c r="D28" s="17" t="s">
        <v>87</v>
      </c>
      <c r="E28" s="17" t="s">
        <v>78</v>
      </c>
      <c r="F28" s="18" t="n">
        <v>185.07</v>
      </c>
      <c r="G28" s="18" t="n">
        <v>185.07</v>
      </c>
      <c r="H28" s="18" t="n">
        <v>0</v>
      </c>
      <c r="I28" s="18" t="n">
        <v>0</v>
      </c>
      <c r="J28" s="18" t="n">
        <v>0</v>
      </c>
      <c r="K28" s="19" t="n">
        <v>0</v>
      </c>
      <c r="L28" s="26" t="n">
        <v>328718.76</v>
      </c>
      <c r="M28" s="26" t="n">
        <v>362171.48</v>
      </c>
    </row>
    <row r="29" customFormat="false" ht="15" hidden="false" customHeight="false" outlineLevel="0" collapsed="false">
      <c r="A29" s="36" t="s">
        <v>58</v>
      </c>
      <c r="B29" s="36" t="s">
        <v>59</v>
      </c>
      <c r="C29" s="36" t="s">
        <v>88</v>
      </c>
      <c r="D29" s="36" t="s">
        <v>89</v>
      </c>
      <c r="E29" s="36" t="s">
        <v>78</v>
      </c>
      <c r="F29" s="37" t="n">
        <v>1401.66</v>
      </c>
      <c r="G29" s="37" t="n">
        <v>259.4</v>
      </c>
      <c r="H29" s="37" t="n">
        <v>243.46</v>
      </c>
      <c r="I29" s="37" t="n">
        <v>234.02</v>
      </c>
      <c r="J29" s="37" t="n">
        <v>664.78</v>
      </c>
      <c r="K29" s="38" t="n">
        <v>0.474280495983334</v>
      </c>
      <c r="L29" s="39" t="n">
        <v>2223677.31</v>
      </c>
      <c r="M29" s="39" t="n">
        <v>2673841.52</v>
      </c>
    </row>
    <row r="30" customFormat="false" ht="15" hidden="false" customHeight="false" outlineLevel="0" collapsed="false">
      <c r="A30" s="17" t="s">
        <v>58</v>
      </c>
      <c r="B30" s="17" t="s">
        <v>59</v>
      </c>
      <c r="C30" s="17" t="s">
        <v>90</v>
      </c>
      <c r="D30" s="17" t="s">
        <v>91</v>
      </c>
      <c r="E30" s="17" t="s">
        <v>78</v>
      </c>
      <c r="F30" s="18" t="n">
        <v>89.64</v>
      </c>
      <c r="G30" s="18" t="n">
        <v>89.64</v>
      </c>
      <c r="H30" s="18" t="n">
        <v>0</v>
      </c>
      <c r="I30" s="18" t="n">
        <v>0</v>
      </c>
      <c r="J30" s="18" t="n">
        <v>0</v>
      </c>
      <c r="K30" s="19" t="n">
        <v>0</v>
      </c>
      <c r="L30" s="26" t="n">
        <v>146289.3</v>
      </c>
      <c r="M30" s="26" t="n">
        <v>167171.56</v>
      </c>
    </row>
    <row r="31" customFormat="false" ht="15" hidden="false" customHeight="false" outlineLevel="0" collapsed="false">
      <c r="A31" s="14" t="s">
        <v>58</v>
      </c>
      <c r="B31" s="14" t="s">
        <v>59</v>
      </c>
      <c r="C31" s="14" t="s">
        <v>132</v>
      </c>
      <c r="D31" s="14" t="s">
        <v>133</v>
      </c>
      <c r="E31" s="14" t="s">
        <v>78</v>
      </c>
      <c r="F31" s="15" t="n">
        <v>246.04</v>
      </c>
      <c r="G31" s="15" t="n">
        <v>246.04</v>
      </c>
      <c r="H31" s="15" t="n">
        <v>0</v>
      </c>
      <c r="I31" s="15" t="n">
        <v>0</v>
      </c>
      <c r="J31" s="15" t="n">
        <v>0</v>
      </c>
      <c r="K31" s="16" t="n">
        <v>0</v>
      </c>
      <c r="L31" s="24" t="n">
        <v>354306.94</v>
      </c>
      <c r="M31" s="24" t="n">
        <v>400009.92</v>
      </c>
    </row>
    <row r="32" customFormat="false" ht="15" hidden="false" customHeight="false" outlineLevel="0" collapsed="false">
      <c r="A32" s="17" t="s">
        <v>58</v>
      </c>
      <c r="B32" s="17" t="s">
        <v>59</v>
      </c>
      <c r="C32" s="17" t="s">
        <v>92</v>
      </c>
      <c r="D32" s="17" t="s">
        <v>93</v>
      </c>
      <c r="E32" s="17" t="s">
        <v>78</v>
      </c>
      <c r="F32" s="18" t="n">
        <v>69.85</v>
      </c>
      <c r="G32" s="18" t="n">
        <v>69.85</v>
      </c>
      <c r="H32" s="18" t="n">
        <v>0</v>
      </c>
      <c r="I32" s="18" t="n">
        <v>0</v>
      </c>
      <c r="J32" s="18" t="n">
        <v>0</v>
      </c>
      <c r="K32" s="19" t="n">
        <v>0</v>
      </c>
      <c r="L32" s="26" t="n">
        <v>108280.1</v>
      </c>
      <c r="M32" s="26" t="n">
        <v>120364.78</v>
      </c>
    </row>
    <row r="33" customFormat="false" ht="15" hidden="false" customHeight="false" outlineLevel="0" collapsed="false">
      <c r="A33" s="14" t="s">
        <v>58</v>
      </c>
      <c r="B33" s="14" t="s">
        <v>59</v>
      </c>
      <c r="C33" s="14" t="s">
        <v>94</v>
      </c>
      <c r="D33" s="14" t="s">
        <v>95</v>
      </c>
      <c r="E33" s="14" t="s">
        <v>78</v>
      </c>
      <c r="F33" s="15" t="n">
        <v>170.46</v>
      </c>
      <c r="G33" s="15" t="n">
        <v>170.46</v>
      </c>
      <c r="H33" s="15" t="n">
        <v>0</v>
      </c>
      <c r="I33" s="15" t="n">
        <v>0</v>
      </c>
      <c r="J33" s="15" t="n">
        <v>0</v>
      </c>
      <c r="K33" s="16" t="n">
        <v>0</v>
      </c>
      <c r="L33" s="24" t="n">
        <v>253367.94</v>
      </c>
      <c r="M33" s="24" t="n">
        <v>284916.01</v>
      </c>
    </row>
    <row r="34" customFormat="false" ht="15" hidden="false" customHeight="false" outlineLevel="0" collapsed="false">
      <c r="A34" s="17" t="s">
        <v>58</v>
      </c>
      <c r="B34" s="17" t="s">
        <v>59</v>
      </c>
      <c r="C34" s="17" t="s">
        <v>134</v>
      </c>
      <c r="D34" s="17" t="s">
        <v>135</v>
      </c>
      <c r="E34" s="17" t="s">
        <v>78</v>
      </c>
      <c r="F34" s="18" t="n">
        <v>52.9</v>
      </c>
      <c r="G34" s="18" t="n">
        <v>39.56</v>
      </c>
      <c r="H34" s="18" t="n">
        <v>13.34</v>
      </c>
      <c r="I34" s="18" t="n">
        <v>0</v>
      </c>
      <c r="J34" s="18" t="n">
        <v>0</v>
      </c>
      <c r="K34" s="19" t="n">
        <v>0</v>
      </c>
      <c r="L34" s="26" t="n">
        <v>65199.15</v>
      </c>
      <c r="M34" s="26" t="n">
        <v>75561.8</v>
      </c>
    </row>
    <row r="35" customFormat="false" ht="15" hidden="false" customHeight="false" outlineLevel="0" collapsed="false">
      <c r="A35" s="36" t="s">
        <v>58</v>
      </c>
      <c r="B35" s="36" t="s">
        <v>59</v>
      </c>
      <c r="C35" s="36" t="s">
        <v>98</v>
      </c>
      <c r="D35" s="36" t="s">
        <v>99</v>
      </c>
      <c r="E35" s="36" t="s">
        <v>78</v>
      </c>
      <c r="F35" s="37" t="n">
        <v>366.59</v>
      </c>
      <c r="G35" s="37" t="n">
        <v>89.58</v>
      </c>
      <c r="H35" s="37" t="n">
        <v>123.35</v>
      </c>
      <c r="I35" s="37" t="n">
        <v>76.89</v>
      </c>
      <c r="J35" s="37" t="n">
        <v>76.77</v>
      </c>
      <c r="K35" s="38" t="n">
        <v>0.209416514362094</v>
      </c>
      <c r="L35" s="39" t="n">
        <v>515740.13</v>
      </c>
      <c r="M35" s="39" t="n">
        <v>629093.05</v>
      </c>
    </row>
    <row r="36" customFormat="false" ht="15" hidden="false" customHeight="false" outlineLevel="0" collapsed="false">
      <c r="A36" s="17" t="s">
        <v>58</v>
      </c>
      <c r="B36" s="17" t="s">
        <v>59</v>
      </c>
      <c r="C36" s="17" t="s">
        <v>136</v>
      </c>
      <c r="D36" s="17" t="s">
        <v>137</v>
      </c>
      <c r="E36" s="17" t="s">
        <v>79</v>
      </c>
      <c r="F36" s="18" t="n">
        <v>44.05</v>
      </c>
      <c r="G36" s="18" t="n">
        <v>44.05</v>
      </c>
      <c r="H36" s="18" t="n">
        <v>0</v>
      </c>
      <c r="I36" s="18" t="n">
        <v>0</v>
      </c>
      <c r="J36" s="18" t="n">
        <v>0</v>
      </c>
      <c r="K36" s="19" t="n">
        <v>0</v>
      </c>
      <c r="L36" s="26" t="n">
        <v>235002.01</v>
      </c>
      <c r="M36" s="26" t="n">
        <v>254732.18</v>
      </c>
    </row>
    <row r="37" customFormat="false" ht="15" hidden="false" customHeight="false" outlineLevel="0" collapsed="false">
      <c r="A37" s="14" t="s">
        <v>58</v>
      </c>
      <c r="B37" s="14" t="s">
        <v>59</v>
      </c>
      <c r="C37" s="14" t="s">
        <v>138</v>
      </c>
      <c r="D37" s="14" t="s">
        <v>139</v>
      </c>
      <c r="E37" s="14" t="s">
        <v>79</v>
      </c>
      <c r="F37" s="15" t="n">
        <v>41.03</v>
      </c>
      <c r="G37" s="15" t="n">
        <v>33.9</v>
      </c>
      <c r="H37" s="15" t="n">
        <v>7.13</v>
      </c>
      <c r="I37" s="15" t="n">
        <v>0</v>
      </c>
      <c r="J37" s="15" t="n">
        <v>0</v>
      </c>
      <c r="K37" s="16" t="n">
        <v>0</v>
      </c>
      <c r="L37" s="24" t="n">
        <v>163022.49</v>
      </c>
      <c r="M37" s="24" t="n">
        <v>185704.73</v>
      </c>
    </row>
    <row r="38" customFormat="false" ht="15" hidden="false" customHeight="false" outlineLevel="0" collapsed="false">
      <c r="A38" s="17" t="s">
        <v>58</v>
      </c>
      <c r="B38" s="17" t="s">
        <v>59</v>
      </c>
      <c r="C38" s="17" t="s">
        <v>140</v>
      </c>
      <c r="D38" s="17" t="s">
        <v>141</v>
      </c>
      <c r="E38" s="17" t="s">
        <v>79</v>
      </c>
      <c r="F38" s="18" t="n">
        <v>50.5</v>
      </c>
      <c r="G38" s="18" t="n">
        <v>50.5</v>
      </c>
      <c r="H38" s="18" t="n">
        <v>0</v>
      </c>
      <c r="I38" s="18" t="n">
        <v>0</v>
      </c>
      <c r="J38" s="18" t="n">
        <v>0</v>
      </c>
      <c r="K38" s="19" t="n">
        <v>0</v>
      </c>
      <c r="L38" s="26" t="n">
        <v>261166.63</v>
      </c>
      <c r="M38" s="26" t="n">
        <v>292263.94</v>
      </c>
    </row>
    <row r="39" customFormat="false" ht="15" hidden="false" customHeight="false" outlineLevel="0" collapsed="false">
      <c r="A39" s="36" t="s">
        <v>58</v>
      </c>
      <c r="B39" s="36" t="s">
        <v>59</v>
      </c>
      <c r="C39" s="36" t="s">
        <v>142</v>
      </c>
      <c r="D39" s="36" t="s">
        <v>143</v>
      </c>
      <c r="E39" s="36" t="s">
        <v>79</v>
      </c>
      <c r="F39" s="37" t="n">
        <v>337.22</v>
      </c>
      <c r="G39" s="37" t="n">
        <v>34.3</v>
      </c>
      <c r="H39" s="37" t="n">
        <v>31.84</v>
      </c>
      <c r="I39" s="37" t="n">
        <v>52.76</v>
      </c>
      <c r="J39" s="37" t="n">
        <v>218.32</v>
      </c>
      <c r="K39" s="38" t="n">
        <v>0.647411185576182</v>
      </c>
      <c r="L39" s="39" t="n">
        <v>1645844.68</v>
      </c>
      <c r="M39" s="39" t="n">
        <v>1862268.74</v>
      </c>
    </row>
    <row r="40" customFormat="false" ht="15" hidden="false" customHeight="false" outlineLevel="0" collapsed="false">
      <c r="A40" s="17" t="s">
        <v>58</v>
      </c>
      <c r="B40" s="17" t="s">
        <v>59</v>
      </c>
      <c r="C40" s="17" t="s">
        <v>100</v>
      </c>
      <c r="D40" s="17" t="s">
        <v>101</v>
      </c>
      <c r="E40" s="17" t="s">
        <v>77</v>
      </c>
      <c r="F40" s="18" t="n">
        <v>39.57</v>
      </c>
      <c r="G40" s="18" t="n">
        <v>39.57</v>
      </c>
      <c r="H40" s="18" t="n">
        <v>0</v>
      </c>
      <c r="I40" s="18" t="n">
        <v>0</v>
      </c>
      <c r="J40" s="18" t="n">
        <v>0</v>
      </c>
      <c r="K40" s="19" t="n">
        <v>0</v>
      </c>
      <c r="L40" s="26" t="n">
        <v>338424.37</v>
      </c>
      <c r="M40" s="26" t="n">
        <v>349333.65</v>
      </c>
    </row>
    <row r="41" customFormat="false" ht="15" hidden="false" customHeight="false" outlineLevel="0" collapsed="false">
      <c r="A41" s="14" t="s">
        <v>58</v>
      </c>
      <c r="B41" s="14" t="s">
        <v>59</v>
      </c>
      <c r="C41" s="14" t="s">
        <v>144</v>
      </c>
      <c r="D41" s="14" t="s">
        <v>145</v>
      </c>
      <c r="E41" s="14" t="s">
        <v>77</v>
      </c>
      <c r="F41" s="15" t="n">
        <v>91.73</v>
      </c>
      <c r="G41" s="15" t="n">
        <v>91.73</v>
      </c>
      <c r="H41" s="15" t="n">
        <v>0</v>
      </c>
      <c r="I41" s="15" t="n">
        <v>0</v>
      </c>
      <c r="J41" s="15" t="n">
        <v>0</v>
      </c>
      <c r="K41" s="16" t="n">
        <v>0</v>
      </c>
      <c r="L41" s="24" t="n">
        <v>759675.45</v>
      </c>
      <c r="M41" s="24" t="n">
        <v>785444.9</v>
      </c>
    </row>
    <row r="42" customFormat="false" ht="15" hidden="false" customHeight="false" outlineLevel="0" collapsed="false">
      <c r="A42" s="17" t="s">
        <v>58</v>
      </c>
      <c r="B42" s="17" t="s">
        <v>59</v>
      </c>
      <c r="C42" s="17" t="s">
        <v>102</v>
      </c>
      <c r="D42" s="17" t="s">
        <v>103</v>
      </c>
      <c r="E42" s="17" t="s">
        <v>77</v>
      </c>
      <c r="F42" s="18" t="n">
        <v>45.22</v>
      </c>
      <c r="G42" s="18" t="n">
        <v>45.22</v>
      </c>
      <c r="H42" s="18" t="n">
        <v>0</v>
      </c>
      <c r="I42" s="18" t="n">
        <v>0</v>
      </c>
      <c r="J42" s="18" t="n">
        <v>0</v>
      </c>
      <c r="K42" s="19" t="n">
        <v>0</v>
      </c>
      <c r="L42" s="26" t="n">
        <v>353126.7</v>
      </c>
      <c r="M42" s="26" t="n">
        <v>368957.41</v>
      </c>
    </row>
    <row r="43" customFormat="false" ht="15" hidden="false" customHeight="false" outlineLevel="0" collapsed="false">
      <c r="A43" s="14" t="s">
        <v>58</v>
      </c>
      <c r="B43" s="14" t="s">
        <v>59</v>
      </c>
      <c r="C43" s="14" t="s">
        <v>104</v>
      </c>
      <c r="D43" s="14" t="s">
        <v>105</v>
      </c>
      <c r="E43" s="14" t="s">
        <v>77</v>
      </c>
      <c r="F43" s="15" t="n">
        <v>98.24</v>
      </c>
      <c r="G43" s="15" t="n">
        <v>98.24</v>
      </c>
      <c r="H43" s="15" t="n">
        <v>0</v>
      </c>
      <c r="I43" s="15" t="n">
        <v>0</v>
      </c>
      <c r="J43" s="15" t="n">
        <v>0</v>
      </c>
      <c r="K43" s="16" t="n">
        <v>0</v>
      </c>
      <c r="L43" s="24" t="n">
        <v>396844.46</v>
      </c>
      <c r="M43" s="24" t="n">
        <v>410265.4</v>
      </c>
    </row>
    <row r="44" customFormat="false" ht="15" hidden="false" customHeight="false" outlineLevel="0" collapsed="false">
      <c r="A44" s="17" t="s">
        <v>58</v>
      </c>
      <c r="B44" s="17" t="s">
        <v>59</v>
      </c>
      <c r="C44" s="17" t="s">
        <v>106</v>
      </c>
      <c r="D44" s="17" t="s">
        <v>107</v>
      </c>
      <c r="E44" s="17" t="s">
        <v>77</v>
      </c>
      <c r="F44" s="18" t="n">
        <v>21.82</v>
      </c>
      <c r="G44" s="18" t="n">
        <v>21.82</v>
      </c>
      <c r="H44" s="18" t="n">
        <v>0</v>
      </c>
      <c r="I44" s="18" t="n">
        <v>0</v>
      </c>
      <c r="J44" s="18" t="n">
        <v>0</v>
      </c>
      <c r="K44" s="19" t="n">
        <v>0</v>
      </c>
      <c r="L44" s="26" t="n">
        <v>153408.72</v>
      </c>
      <c r="M44" s="26" t="n">
        <v>162211.97</v>
      </c>
    </row>
    <row r="45" customFormat="false" ht="15" hidden="false" customHeight="false" outlineLevel="0" collapsed="false">
      <c r="A45" s="40" t="s">
        <v>58</v>
      </c>
      <c r="B45" s="40" t="s">
        <v>59</v>
      </c>
      <c r="C45" s="40" t="s">
        <v>108</v>
      </c>
      <c r="D45" s="40" t="s">
        <v>109</v>
      </c>
      <c r="E45" s="40" t="s">
        <v>77</v>
      </c>
      <c r="F45" s="41" t="n">
        <v>115.89</v>
      </c>
      <c r="G45" s="41" t="n">
        <v>39.27</v>
      </c>
      <c r="H45" s="41" t="n">
        <v>42.49</v>
      </c>
      <c r="I45" s="41" t="n">
        <v>34.13</v>
      </c>
      <c r="J45" s="41" t="n">
        <v>0</v>
      </c>
      <c r="K45" s="42" t="n">
        <v>0</v>
      </c>
      <c r="L45" s="43" t="n">
        <v>338306.24</v>
      </c>
      <c r="M45" s="43" t="n">
        <v>375977.64</v>
      </c>
    </row>
    <row r="46" customFormat="false" ht="15" hidden="false" customHeight="false" outlineLevel="0" collapsed="false">
      <c r="A46" s="17" t="s">
        <v>58</v>
      </c>
      <c r="B46" s="17" t="s">
        <v>59</v>
      </c>
      <c r="C46" s="17" t="s">
        <v>110</v>
      </c>
      <c r="D46" s="17" t="s">
        <v>111</v>
      </c>
      <c r="E46" s="17" t="s">
        <v>77</v>
      </c>
      <c r="F46" s="18" t="n">
        <v>54.86</v>
      </c>
      <c r="G46" s="18" t="n">
        <v>54.86</v>
      </c>
      <c r="H46" s="18" t="n">
        <v>0</v>
      </c>
      <c r="I46" s="18" t="n">
        <v>0</v>
      </c>
      <c r="J46" s="18" t="n">
        <v>0</v>
      </c>
      <c r="K46" s="19" t="n">
        <v>0</v>
      </c>
      <c r="L46" s="26" t="n">
        <v>120490.35</v>
      </c>
      <c r="M46" s="26" t="n">
        <v>127234.61</v>
      </c>
    </row>
    <row r="47" customFormat="false" ht="15" hidden="false" customHeight="false" outlineLevel="0" collapsed="false">
      <c r="A47" s="14" t="s">
        <v>58</v>
      </c>
      <c r="B47" s="14" t="s">
        <v>59</v>
      </c>
      <c r="C47" s="14" t="s">
        <v>112</v>
      </c>
      <c r="D47" s="14" t="s">
        <v>113</v>
      </c>
      <c r="E47" s="14" t="s">
        <v>81</v>
      </c>
      <c r="F47" s="15" t="n">
        <v>1731.97</v>
      </c>
      <c r="G47" s="15" t="n">
        <v>1731.97</v>
      </c>
      <c r="H47" s="15" t="n">
        <v>0</v>
      </c>
      <c r="I47" s="15" t="n">
        <v>0</v>
      </c>
      <c r="J47" s="15" t="n">
        <v>0</v>
      </c>
      <c r="K47" s="16" t="n">
        <v>0</v>
      </c>
      <c r="L47" s="24" t="n">
        <v>503773.75</v>
      </c>
      <c r="M47" s="24" t="n">
        <v>633491.49</v>
      </c>
    </row>
    <row r="48" customFormat="false" ht="15" hidden="false" customHeight="false" outlineLevel="0" collapsed="false">
      <c r="A48" s="17" t="s">
        <v>58</v>
      </c>
      <c r="B48" s="17" t="s">
        <v>59</v>
      </c>
      <c r="C48" s="17" t="s">
        <v>146</v>
      </c>
      <c r="D48" s="17" t="s">
        <v>147</v>
      </c>
      <c r="E48" s="17" t="s">
        <v>81</v>
      </c>
      <c r="F48" s="18" t="n">
        <v>519.72</v>
      </c>
      <c r="G48" s="18" t="n">
        <v>519.72</v>
      </c>
      <c r="H48" s="18" t="n">
        <v>0</v>
      </c>
      <c r="I48" s="18" t="n">
        <v>0</v>
      </c>
      <c r="J48" s="18" t="n">
        <v>0</v>
      </c>
      <c r="K48" s="19" t="n">
        <v>0</v>
      </c>
      <c r="L48" s="26" t="n">
        <v>146585.82</v>
      </c>
      <c r="M48" s="26" t="n">
        <v>170648.15</v>
      </c>
    </row>
    <row r="49" customFormat="false" ht="15" hidden="false" customHeight="false" outlineLevel="0" collapsed="false">
      <c r="A49" s="14" t="s">
        <v>58</v>
      </c>
      <c r="B49" s="14" t="s">
        <v>59</v>
      </c>
      <c r="C49" s="14" t="s">
        <v>148</v>
      </c>
      <c r="D49" s="14" t="s">
        <v>149</v>
      </c>
      <c r="E49" s="14" t="s">
        <v>81</v>
      </c>
      <c r="F49" s="15" t="n">
        <v>1010.4</v>
      </c>
      <c r="G49" s="15" t="n">
        <v>1010.4</v>
      </c>
      <c r="H49" s="15" t="n">
        <v>0</v>
      </c>
      <c r="I49" s="15" t="n">
        <v>0</v>
      </c>
      <c r="J49" s="15" t="n">
        <v>0</v>
      </c>
      <c r="K49" s="16" t="n">
        <v>0</v>
      </c>
      <c r="L49" s="24" t="n">
        <v>305542.33</v>
      </c>
      <c r="M49" s="24" t="n">
        <v>356948.22</v>
      </c>
    </row>
    <row r="50" customFormat="false" ht="15" hidden="false" customHeight="false" outlineLevel="0" collapsed="false">
      <c r="A50" s="17" t="s">
        <v>58</v>
      </c>
      <c r="B50" s="17" t="s">
        <v>59</v>
      </c>
      <c r="C50" s="17" t="s">
        <v>114</v>
      </c>
      <c r="D50" s="17" t="s">
        <v>115</v>
      </c>
      <c r="E50" s="17" t="s">
        <v>81</v>
      </c>
      <c r="F50" s="18" t="n">
        <v>1883.96</v>
      </c>
      <c r="G50" s="18" t="n">
        <v>1883.96</v>
      </c>
      <c r="H50" s="18" t="n">
        <v>0</v>
      </c>
      <c r="I50" s="18" t="n">
        <v>0</v>
      </c>
      <c r="J50" s="18" t="n">
        <v>0</v>
      </c>
      <c r="K50" s="19" t="n">
        <v>0</v>
      </c>
      <c r="L50" s="26" t="n">
        <v>558932.52</v>
      </c>
      <c r="M50" s="26" t="n">
        <v>705344.02</v>
      </c>
    </row>
    <row r="51" customFormat="false" ht="15" hidden="false" customHeight="false" outlineLevel="0" collapsed="false">
      <c r="A51" s="14" t="s">
        <v>58</v>
      </c>
      <c r="B51" s="14" t="s">
        <v>59</v>
      </c>
      <c r="C51" s="14" t="s">
        <v>150</v>
      </c>
      <c r="D51" s="14" t="s">
        <v>151</v>
      </c>
      <c r="E51" s="14" t="s">
        <v>81</v>
      </c>
      <c r="F51" s="15" t="n">
        <v>491.49</v>
      </c>
      <c r="G51" s="15" t="n">
        <v>491.49</v>
      </c>
      <c r="H51" s="15" t="n">
        <v>0</v>
      </c>
      <c r="I51" s="15" t="n">
        <v>0</v>
      </c>
      <c r="J51" s="15" t="n">
        <v>0</v>
      </c>
      <c r="K51" s="16" t="n">
        <v>0</v>
      </c>
      <c r="L51" s="24" t="n">
        <v>165816.15</v>
      </c>
      <c r="M51" s="24" t="n">
        <v>199161.18</v>
      </c>
    </row>
    <row r="52" customFormat="false" ht="15" hidden="false" customHeight="false" outlineLevel="0" collapsed="false">
      <c r="A52" s="17" t="s">
        <v>58</v>
      </c>
      <c r="B52" s="17" t="s">
        <v>59</v>
      </c>
      <c r="C52" s="17" t="s">
        <v>152</v>
      </c>
      <c r="D52" s="17" t="s">
        <v>153</v>
      </c>
      <c r="E52" s="17" t="s">
        <v>81</v>
      </c>
      <c r="F52" s="18" t="n">
        <v>403.18</v>
      </c>
      <c r="G52" s="18" t="n">
        <v>403.18</v>
      </c>
      <c r="H52" s="18" t="n">
        <v>0</v>
      </c>
      <c r="I52" s="18" t="n">
        <v>0</v>
      </c>
      <c r="J52" s="18" t="n">
        <v>0</v>
      </c>
      <c r="K52" s="19" t="n">
        <v>0</v>
      </c>
      <c r="L52" s="26" t="n">
        <v>130250.13</v>
      </c>
      <c r="M52" s="26" t="n">
        <v>149756.89</v>
      </c>
    </row>
    <row r="53" customFormat="false" ht="15" hidden="false" customHeight="false" outlineLevel="0" collapsed="false">
      <c r="A53" s="14" t="s">
        <v>58</v>
      </c>
      <c r="B53" s="14" t="s">
        <v>59</v>
      </c>
      <c r="C53" s="14" t="s">
        <v>116</v>
      </c>
      <c r="D53" s="14" t="s">
        <v>117</v>
      </c>
      <c r="E53" s="14" t="s">
        <v>81</v>
      </c>
      <c r="F53" s="15" t="n">
        <v>198.24</v>
      </c>
      <c r="G53" s="15" t="n">
        <v>198.24</v>
      </c>
      <c r="H53" s="15" t="n">
        <v>0</v>
      </c>
      <c r="I53" s="15" t="n">
        <v>0</v>
      </c>
      <c r="J53" s="15" t="n">
        <v>0</v>
      </c>
      <c r="K53" s="16" t="n">
        <v>0</v>
      </c>
      <c r="L53" s="24" t="n">
        <v>77207.71</v>
      </c>
      <c r="M53" s="24" t="n">
        <v>90241.02</v>
      </c>
    </row>
    <row r="54" customFormat="false" ht="15" hidden="false" customHeight="false" outlineLevel="0" collapsed="false">
      <c r="A54" s="17" t="s">
        <v>58</v>
      </c>
      <c r="B54" s="17" t="s">
        <v>59</v>
      </c>
      <c r="C54" s="17" t="s">
        <v>154</v>
      </c>
      <c r="D54" s="17" t="s">
        <v>155</v>
      </c>
      <c r="E54" s="17" t="s">
        <v>81</v>
      </c>
      <c r="F54" s="18" t="n">
        <v>216.83</v>
      </c>
      <c r="G54" s="18" t="n">
        <v>216.83</v>
      </c>
      <c r="H54" s="18" t="n">
        <v>0</v>
      </c>
      <c r="I54" s="18" t="n">
        <v>0</v>
      </c>
      <c r="J54" s="18" t="n">
        <v>0</v>
      </c>
      <c r="K54" s="19" t="n">
        <v>0</v>
      </c>
      <c r="L54" s="26" t="n">
        <v>46095.83</v>
      </c>
      <c r="M54" s="26" t="n">
        <v>55582.89</v>
      </c>
    </row>
    <row r="55" customFormat="false" ht="15" hidden="false" customHeight="false" outlineLevel="0" collapsed="false">
      <c r="A55" s="14" t="s">
        <v>58</v>
      </c>
      <c r="B55" s="14" t="s">
        <v>59</v>
      </c>
      <c r="C55" s="14" t="s">
        <v>118</v>
      </c>
      <c r="D55" s="14" t="s">
        <v>119</v>
      </c>
      <c r="E55" s="14" t="s">
        <v>81</v>
      </c>
      <c r="F55" s="15" t="n">
        <v>138.57</v>
      </c>
      <c r="G55" s="15" t="n">
        <v>138.57</v>
      </c>
      <c r="H55" s="15" t="n">
        <v>0</v>
      </c>
      <c r="I55" s="15" t="n">
        <v>0</v>
      </c>
      <c r="J55" s="15" t="n">
        <v>0</v>
      </c>
      <c r="K55" s="16" t="n">
        <v>0</v>
      </c>
      <c r="L55" s="24" t="n">
        <v>44457.7</v>
      </c>
      <c r="M55" s="24" t="n">
        <v>54531.5</v>
      </c>
    </row>
    <row r="56" customFormat="false" ht="15" hidden="false" customHeight="false" outlineLevel="0" collapsed="false">
      <c r="A56" s="17" t="s">
        <v>58</v>
      </c>
      <c r="B56" s="17" t="s">
        <v>59</v>
      </c>
      <c r="C56" s="17" t="s">
        <v>120</v>
      </c>
      <c r="D56" s="17" t="s">
        <v>121</v>
      </c>
      <c r="E56" s="17" t="s">
        <v>80</v>
      </c>
      <c r="F56" s="18" t="n">
        <v>87.3</v>
      </c>
      <c r="G56" s="18" t="n">
        <v>87.3</v>
      </c>
      <c r="H56" s="18" t="n">
        <v>0</v>
      </c>
      <c r="I56" s="18" t="n">
        <v>0</v>
      </c>
      <c r="J56" s="18" t="n">
        <v>0</v>
      </c>
      <c r="K56" s="19" t="n">
        <v>0</v>
      </c>
      <c r="L56" s="26" t="n">
        <v>94039.93</v>
      </c>
      <c r="M56" s="26" t="n">
        <v>116200.54</v>
      </c>
    </row>
    <row r="57" customFormat="false" ht="15" hidden="false" customHeight="false" outlineLevel="0" collapsed="false">
      <c r="A57" s="14" t="s">
        <v>58</v>
      </c>
      <c r="B57" s="14" t="s">
        <v>59</v>
      </c>
      <c r="C57" s="14" t="s">
        <v>122</v>
      </c>
      <c r="D57" s="14" t="s">
        <v>123</v>
      </c>
      <c r="E57" s="14" t="s">
        <v>80</v>
      </c>
      <c r="F57" s="15" t="n">
        <v>51.15</v>
      </c>
      <c r="G57" s="15" t="n">
        <v>51.15</v>
      </c>
      <c r="H57" s="15" t="n">
        <v>0</v>
      </c>
      <c r="I57" s="15" t="n">
        <v>0</v>
      </c>
      <c r="J57" s="15" t="n">
        <v>0</v>
      </c>
      <c r="K57" s="16" t="n">
        <v>0</v>
      </c>
      <c r="L57" s="24" t="n">
        <v>47810.56</v>
      </c>
      <c r="M57" s="24" t="n">
        <v>54413.99</v>
      </c>
    </row>
    <row r="58" customFormat="false" ht="15" hidden="false" customHeight="false" outlineLevel="0" collapsed="false">
      <c r="A58" s="17" t="s">
        <v>58</v>
      </c>
      <c r="B58" s="17" t="s">
        <v>59</v>
      </c>
      <c r="C58" s="17" t="s">
        <v>124</v>
      </c>
      <c r="D58" s="17" t="s">
        <v>125</v>
      </c>
      <c r="E58" s="17" t="s">
        <v>80</v>
      </c>
      <c r="F58" s="18" t="n">
        <v>57.71</v>
      </c>
      <c r="G58" s="18" t="n">
        <v>57.71</v>
      </c>
      <c r="H58" s="18" t="n">
        <v>0</v>
      </c>
      <c r="I58" s="18" t="n">
        <v>0</v>
      </c>
      <c r="J58" s="18" t="n">
        <v>0</v>
      </c>
      <c r="K58" s="19" t="n">
        <v>0</v>
      </c>
      <c r="L58" s="26" t="n">
        <v>91967.52</v>
      </c>
      <c r="M58" s="26" t="n">
        <v>102870.15</v>
      </c>
    </row>
    <row r="59" customFormat="false" ht="15" hidden="false" customHeight="false" outlineLevel="0" collapsed="false">
      <c r="A59" s="14" t="s">
        <v>58</v>
      </c>
      <c r="B59" s="14" t="s">
        <v>59</v>
      </c>
      <c r="C59" s="14" t="s">
        <v>126</v>
      </c>
      <c r="D59" s="14" t="s">
        <v>127</v>
      </c>
      <c r="E59" s="14" t="s">
        <v>80</v>
      </c>
      <c r="F59" s="15" t="n">
        <v>41.62</v>
      </c>
      <c r="G59" s="15" t="n">
        <v>41.62</v>
      </c>
      <c r="H59" s="15" t="n">
        <v>0</v>
      </c>
      <c r="I59" s="15" t="n">
        <v>0</v>
      </c>
      <c r="J59" s="15" t="n">
        <v>0</v>
      </c>
      <c r="K59" s="16" t="n">
        <v>0</v>
      </c>
      <c r="L59" s="24" t="n">
        <v>50081.9</v>
      </c>
      <c r="M59" s="24" t="n">
        <v>60961.98</v>
      </c>
    </row>
    <row r="60" customFormat="false" ht="15" hidden="false" customHeight="false" outlineLevel="0" collapsed="false">
      <c r="A60" s="40" t="s">
        <v>58</v>
      </c>
      <c r="B60" s="40" t="s">
        <v>59</v>
      </c>
      <c r="C60" s="40" t="s">
        <v>128</v>
      </c>
      <c r="D60" s="40" t="s">
        <v>129</v>
      </c>
      <c r="E60" s="40" t="s">
        <v>80</v>
      </c>
      <c r="F60" s="41" t="n">
        <v>396.69</v>
      </c>
      <c r="G60" s="41" t="n">
        <v>173.28</v>
      </c>
      <c r="H60" s="41" t="n">
        <v>156.43</v>
      </c>
      <c r="I60" s="41" t="n">
        <v>66.98</v>
      </c>
      <c r="J60" s="41" t="n">
        <v>0</v>
      </c>
      <c r="K60" s="42" t="n">
        <v>0</v>
      </c>
      <c r="L60" s="43" t="n">
        <v>153370.16</v>
      </c>
      <c r="M60" s="43" t="n">
        <v>184107.8</v>
      </c>
    </row>
    <row r="61" customFormat="false" ht="15" hidden="false" customHeight="false" outlineLevel="0" collapsed="false">
      <c r="A61" s="14" t="s">
        <v>58</v>
      </c>
      <c r="B61" s="14" t="s">
        <v>59</v>
      </c>
      <c r="C61" s="14" t="s">
        <v>156</v>
      </c>
      <c r="D61" s="14" t="s">
        <v>157</v>
      </c>
      <c r="E61" s="14" t="s">
        <v>80</v>
      </c>
      <c r="F61" s="15" t="n">
        <v>120.28</v>
      </c>
      <c r="G61" s="15" t="n">
        <v>120.28</v>
      </c>
      <c r="H61" s="15" t="n">
        <v>0</v>
      </c>
      <c r="I61" s="15" t="n">
        <v>0</v>
      </c>
      <c r="J61" s="15" t="n">
        <v>0</v>
      </c>
      <c r="K61" s="16" t="n">
        <v>0</v>
      </c>
      <c r="L61" s="24" t="n">
        <v>129160.57</v>
      </c>
      <c r="M61" s="24" t="n">
        <v>152246.04</v>
      </c>
    </row>
    <row r="62" customFormat="false" ht="15" hidden="false" customHeight="false" outlineLevel="0" collapsed="false">
      <c r="A62" s="17" t="s">
        <v>58</v>
      </c>
      <c r="B62" s="17" t="s">
        <v>59</v>
      </c>
      <c r="C62" s="17" t="s">
        <v>158</v>
      </c>
      <c r="D62" s="17" t="s">
        <v>159</v>
      </c>
      <c r="E62" s="17" t="s">
        <v>80</v>
      </c>
      <c r="F62" s="18" t="n">
        <v>40.01</v>
      </c>
      <c r="G62" s="18" t="n">
        <v>31.72</v>
      </c>
      <c r="H62" s="18" t="n">
        <v>8.29</v>
      </c>
      <c r="I62" s="18" t="n">
        <v>0</v>
      </c>
      <c r="J62" s="18" t="n">
        <v>0</v>
      </c>
      <c r="K62" s="19" t="n">
        <v>0</v>
      </c>
      <c r="L62" s="26" t="n">
        <v>28968.14</v>
      </c>
      <c r="M62" s="26" t="n">
        <v>31803.43</v>
      </c>
    </row>
    <row r="63" customFormat="false" ht="15" hidden="false" customHeight="false" outlineLevel="0" collapsed="false">
      <c r="A63" s="14" t="s">
        <v>58</v>
      </c>
      <c r="B63" s="14" t="s">
        <v>59</v>
      </c>
      <c r="C63" s="14" t="s">
        <v>130</v>
      </c>
      <c r="D63" s="14" t="s">
        <v>131</v>
      </c>
      <c r="E63" s="14" t="s">
        <v>80</v>
      </c>
      <c r="F63" s="15" t="n">
        <v>63.26</v>
      </c>
      <c r="G63" s="15" t="n">
        <v>63.26</v>
      </c>
      <c r="H63" s="15" t="n">
        <v>0</v>
      </c>
      <c r="I63" s="15" t="n">
        <v>0</v>
      </c>
      <c r="J63" s="15" t="n">
        <v>0</v>
      </c>
      <c r="K63" s="16" t="n">
        <v>0</v>
      </c>
      <c r="L63" s="24" t="n">
        <v>41176.8</v>
      </c>
      <c r="M63" s="24" t="n">
        <v>46147.75</v>
      </c>
    </row>
    <row r="64" customFormat="false" ht="15" hidden="false" customHeight="false" outlineLevel="0" collapsed="false">
      <c r="A64" s="17" t="s">
        <v>60</v>
      </c>
      <c r="B64" s="17" t="s">
        <v>61</v>
      </c>
      <c r="C64" s="17" t="s">
        <v>86</v>
      </c>
      <c r="D64" s="17" t="s">
        <v>87</v>
      </c>
      <c r="E64" s="17" t="s">
        <v>78</v>
      </c>
      <c r="F64" s="18" t="n">
        <v>124.71</v>
      </c>
      <c r="G64" s="18" t="n">
        <v>124.71</v>
      </c>
      <c r="H64" s="18" t="n">
        <v>0</v>
      </c>
      <c r="I64" s="18" t="n">
        <v>0</v>
      </c>
      <c r="J64" s="18" t="n">
        <v>0</v>
      </c>
      <c r="K64" s="19" t="n">
        <v>0</v>
      </c>
      <c r="L64" s="26" t="n">
        <v>220820.13</v>
      </c>
      <c r="M64" s="26" t="n">
        <v>244050.39</v>
      </c>
    </row>
    <row r="65" customFormat="false" ht="15" hidden="false" customHeight="false" outlineLevel="0" collapsed="false">
      <c r="A65" s="14" t="s">
        <v>60</v>
      </c>
      <c r="B65" s="14" t="s">
        <v>61</v>
      </c>
      <c r="C65" s="14" t="s">
        <v>88</v>
      </c>
      <c r="D65" s="14" t="s">
        <v>89</v>
      </c>
      <c r="E65" s="14" t="s">
        <v>78</v>
      </c>
      <c r="F65" s="15" t="n">
        <v>123.72</v>
      </c>
      <c r="G65" s="15" t="n">
        <v>123.72</v>
      </c>
      <c r="H65" s="15" t="n">
        <v>0</v>
      </c>
      <c r="I65" s="15" t="n">
        <v>0</v>
      </c>
      <c r="J65" s="15" t="n">
        <v>0</v>
      </c>
      <c r="K65" s="16" t="n">
        <v>0</v>
      </c>
      <c r="L65" s="24" t="n">
        <v>210593.41</v>
      </c>
      <c r="M65" s="24" t="n">
        <v>236011.35</v>
      </c>
    </row>
    <row r="66" customFormat="false" ht="15" hidden="false" customHeight="false" outlineLevel="0" collapsed="false">
      <c r="A66" s="36" t="s">
        <v>60</v>
      </c>
      <c r="B66" s="36" t="s">
        <v>61</v>
      </c>
      <c r="C66" s="36" t="s">
        <v>90</v>
      </c>
      <c r="D66" s="36" t="s">
        <v>91</v>
      </c>
      <c r="E66" s="36" t="s">
        <v>78</v>
      </c>
      <c r="F66" s="37" t="n">
        <v>1092.98</v>
      </c>
      <c r="G66" s="37" t="n">
        <v>204.28</v>
      </c>
      <c r="H66" s="37" t="n">
        <v>190.01</v>
      </c>
      <c r="I66" s="37" t="n">
        <v>165.52</v>
      </c>
      <c r="J66" s="37" t="n">
        <v>533.17</v>
      </c>
      <c r="K66" s="38" t="n">
        <v>0.487813134732566</v>
      </c>
      <c r="L66" s="39" t="n">
        <v>1661144.58</v>
      </c>
      <c r="M66" s="39" t="n">
        <v>2038321.91</v>
      </c>
    </row>
    <row r="67" customFormat="false" ht="15" hidden="false" customHeight="false" outlineLevel="0" collapsed="false">
      <c r="A67" s="14" t="s">
        <v>60</v>
      </c>
      <c r="B67" s="14" t="s">
        <v>61</v>
      </c>
      <c r="C67" s="14" t="s">
        <v>132</v>
      </c>
      <c r="D67" s="14" t="s">
        <v>133</v>
      </c>
      <c r="E67" s="14" t="s">
        <v>78</v>
      </c>
      <c r="F67" s="15" t="n">
        <v>275.57</v>
      </c>
      <c r="G67" s="15" t="n">
        <v>275.57</v>
      </c>
      <c r="H67" s="15" t="n">
        <v>0</v>
      </c>
      <c r="I67" s="15" t="n">
        <v>0</v>
      </c>
      <c r="J67" s="15" t="n">
        <v>0</v>
      </c>
      <c r="K67" s="16" t="n">
        <v>0</v>
      </c>
      <c r="L67" s="24" t="n">
        <v>393835.01</v>
      </c>
      <c r="M67" s="24" t="n">
        <v>448019.56</v>
      </c>
    </row>
    <row r="68" customFormat="false" ht="15" hidden="false" customHeight="false" outlineLevel="0" collapsed="false">
      <c r="A68" s="17" t="s">
        <v>60</v>
      </c>
      <c r="B68" s="17" t="s">
        <v>61</v>
      </c>
      <c r="C68" s="17" t="s">
        <v>92</v>
      </c>
      <c r="D68" s="17" t="s">
        <v>93</v>
      </c>
      <c r="E68" s="17" t="s">
        <v>78</v>
      </c>
      <c r="F68" s="18" t="n">
        <v>146.46</v>
      </c>
      <c r="G68" s="18" t="n">
        <v>146.46</v>
      </c>
      <c r="H68" s="18" t="n">
        <v>0</v>
      </c>
      <c r="I68" s="18" t="n">
        <v>0</v>
      </c>
      <c r="J68" s="18" t="n">
        <v>0</v>
      </c>
      <c r="K68" s="19" t="n">
        <v>0</v>
      </c>
      <c r="L68" s="26" t="n">
        <v>226262.41</v>
      </c>
      <c r="M68" s="26" t="n">
        <v>252378.31</v>
      </c>
    </row>
    <row r="69" customFormat="false" ht="15" hidden="false" customHeight="false" outlineLevel="0" collapsed="false">
      <c r="A69" s="14" t="s">
        <v>60</v>
      </c>
      <c r="B69" s="14" t="s">
        <v>61</v>
      </c>
      <c r="C69" s="14" t="s">
        <v>94</v>
      </c>
      <c r="D69" s="14" t="s">
        <v>95</v>
      </c>
      <c r="E69" s="14" t="s">
        <v>78</v>
      </c>
      <c r="F69" s="15" t="n">
        <v>144.11</v>
      </c>
      <c r="G69" s="15" t="n">
        <v>144.11</v>
      </c>
      <c r="H69" s="15" t="n">
        <v>0</v>
      </c>
      <c r="I69" s="15" t="n">
        <v>0</v>
      </c>
      <c r="J69" s="15" t="n">
        <v>0</v>
      </c>
      <c r="K69" s="16" t="n">
        <v>0</v>
      </c>
      <c r="L69" s="24" t="n">
        <v>213675.28</v>
      </c>
      <c r="M69" s="24" t="n">
        <v>240873.2</v>
      </c>
    </row>
    <row r="70" customFormat="false" ht="15" hidden="false" customHeight="false" outlineLevel="0" collapsed="false">
      <c r="A70" s="17" t="s">
        <v>60</v>
      </c>
      <c r="B70" s="17" t="s">
        <v>61</v>
      </c>
      <c r="C70" s="17" t="s">
        <v>134</v>
      </c>
      <c r="D70" s="17" t="s">
        <v>135</v>
      </c>
      <c r="E70" s="17" t="s">
        <v>78</v>
      </c>
      <c r="F70" s="18" t="n">
        <v>68.34</v>
      </c>
      <c r="G70" s="18" t="n">
        <v>68.34</v>
      </c>
      <c r="H70" s="18" t="n">
        <v>0</v>
      </c>
      <c r="I70" s="18" t="n">
        <v>0</v>
      </c>
      <c r="J70" s="18" t="n">
        <v>0</v>
      </c>
      <c r="K70" s="19" t="n">
        <v>0</v>
      </c>
      <c r="L70" s="26" t="n">
        <v>86394.52</v>
      </c>
      <c r="M70" s="26" t="n">
        <v>97616.13</v>
      </c>
    </row>
    <row r="71" customFormat="false" ht="15" hidden="false" customHeight="false" outlineLevel="0" collapsed="false">
      <c r="A71" s="14" t="s">
        <v>60</v>
      </c>
      <c r="B71" s="14" t="s">
        <v>61</v>
      </c>
      <c r="C71" s="14" t="s">
        <v>96</v>
      </c>
      <c r="D71" s="14" t="s">
        <v>97</v>
      </c>
      <c r="E71" s="14" t="s">
        <v>78</v>
      </c>
      <c r="F71" s="15" t="n">
        <v>90.58</v>
      </c>
      <c r="G71" s="15" t="n">
        <v>74.21</v>
      </c>
      <c r="H71" s="15" t="n">
        <v>16.37</v>
      </c>
      <c r="I71" s="15" t="n">
        <v>0</v>
      </c>
      <c r="J71" s="15" t="n">
        <v>0</v>
      </c>
      <c r="K71" s="16" t="n">
        <v>0</v>
      </c>
      <c r="L71" s="24" t="n">
        <v>130274.44</v>
      </c>
      <c r="M71" s="24" t="n">
        <v>147483.09</v>
      </c>
    </row>
    <row r="72" customFormat="false" ht="15" hidden="false" customHeight="false" outlineLevel="0" collapsed="false">
      <c r="A72" s="17" t="s">
        <v>60</v>
      </c>
      <c r="B72" s="17" t="s">
        <v>61</v>
      </c>
      <c r="C72" s="17" t="s">
        <v>98</v>
      </c>
      <c r="D72" s="17" t="s">
        <v>99</v>
      </c>
      <c r="E72" s="17" t="s">
        <v>78</v>
      </c>
      <c r="F72" s="18" t="n">
        <v>227.19</v>
      </c>
      <c r="G72" s="18" t="n">
        <v>149.59</v>
      </c>
      <c r="H72" s="18" t="n">
        <v>77.6</v>
      </c>
      <c r="I72" s="18" t="n">
        <v>0</v>
      </c>
      <c r="J72" s="18" t="n">
        <v>0</v>
      </c>
      <c r="K72" s="19" t="n">
        <v>0</v>
      </c>
      <c r="L72" s="26" t="n">
        <v>336238.91</v>
      </c>
      <c r="M72" s="26" t="n">
        <v>389873.29</v>
      </c>
    </row>
    <row r="73" customFormat="false" ht="15" hidden="false" customHeight="false" outlineLevel="0" collapsed="false">
      <c r="A73" s="14" t="s">
        <v>60</v>
      </c>
      <c r="B73" s="14" t="s">
        <v>61</v>
      </c>
      <c r="C73" s="14" t="s">
        <v>136</v>
      </c>
      <c r="D73" s="14" t="s">
        <v>137</v>
      </c>
      <c r="E73" s="14" t="s">
        <v>79</v>
      </c>
      <c r="F73" s="15" t="n">
        <v>80.64</v>
      </c>
      <c r="G73" s="15" t="n">
        <v>80.64</v>
      </c>
      <c r="H73" s="15" t="n">
        <v>0</v>
      </c>
      <c r="I73" s="15" t="n">
        <v>0</v>
      </c>
      <c r="J73" s="15" t="n">
        <v>0</v>
      </c>
      <c r="K73" s="16" t="n">
        <v>0</v>
      </c>
      <c r="L73" s="24" t="n">
        <v>430870.86</v>
      </c>
      <c r="M73" s="24" t="n">
        <v>466324.69</v>
      </c>
    </row>
    <row r="74" customFormat="false" ht="15" hidden="false" customHeight="false" outlineLevel="0" collapsed="false">
      <c r="A74" s="17" t="s">
        <v>60</v>
      </c>
      <c r="B74" s="17" t="s">
        <v>61</v>
      </c>
      <c r="C74" s="17" t="s">
        <v>160</v>
      </c>
      <c r="D74" s="17" t="s">
        <v>161</v>
      </c>
      <c r="E74" s="17" t="s">
        <v>79</v>
      </c>
      <c r="F74" s="18" t="n">
        <v>77.88</v>
      </c>
      <c r="G74" s="18" t="n">
        <v>66.16</v>
      </c>
      <c r="H74" s="18" t="n">
        <v>11.72</v>
      </c>
      <c r="I74" s="18" t="n">
        <v>0</v>
      </c>
      <c r="J74" s="18" t="n">
        <v>0</v>
      </c>
      <c r="K74" s="19" t="n">
        <v>0</v>
      </c>
      <c r="L74" s="26" t="n">
        <v>494742.88</v>
      </c>
      <c r="M74" s="26" t="n">
        <v>549746.84</v>
      </c>
    </row>
    <row r="75" customFormat="false" ht="15" hidden="false" customHeight="false" outlineLevel="0" collapsed="false">
      <c r="A75" s="36" t="s">
        <v>60</v>
      </c>
      <c r="B75" s="36" t="s">
        <v>61</v>
      </c>
      <c r="C75" s="36" t="s">
        <v>162</v>
      </c>
      <c r="D75" s="36" t="s">
        <v>163</v>
      </c>
      <c r="E75" s="36" t="s">
        <v>79</v>
      </c>
      <c r="F75" s="37" t="n">
        <v>543.67</v>
      </c>
      <c r="G75" s="37" t="n">
        <v>80.72</v>
      </c>
      <c r="H75" s="37" t="n">
        <v>50.3</v>
      </c>
      <c r="I75" s="37" t="n">
        <v>69.2</v>
      </c>
      <c r="J75" s="37" t="n">
        <v>343.45</v>
      </c>
      <c r="K75" s="38" t="n">
        <v>0.631725127375062</v>
      </c>
      <c r="L75" s="39" t="n">
        <v>2392756.29</v>
      </c>
      <c r="M75" s="39" t="n">
        <v>2759788.13</v>
      </c>
    </row>
    <row r="76" customFormat="false" ht="15" hidden="false" customHeight="false" outlineLevel="0" collapsed="false">
      <c r="A76" s="17" t="s">
        <v>60</v>
      </c>
      <c r="B76" s="17" t="s">
        <v>61</v>
      </c>
      <c r="C76" s="17" t="s">
        <v>164</v>
      </c>
      <c r="D76" s="17" t="s">
        <v>165</v>
      </c>
      <c r="E76" s="17" t="s">
        <v>79</v>
      </c>
      <c r="F76" s="18" t="n">
        <v>23.02</v>
      </c>
      <c r="G76" s="18" t="n">
        <v>23.02</v>
      </c>
      <c r="H76" s="18" t="n">
        <v>0</v>
      </c>
      <c r="I76" s="18" t="n">
        <v>0</v>
      </c>
      <c r="J76" s="18" t="n">
        <v>0</v>
      </c>
      <c r="K76" s="19" t="n">
        <v>0</v>
      </c>
      <c r="L76" s="26" t="n">
        <v>128169.77</v>
      </c>
      <c r="M76" s="26" t="n">
        <v>139962.98</v>
      </c>
    </row>
    <row r="77" customFormat="false" ht="15" hidden="false" customHeight="false" outlineLevel="0" collapsed="false">
      <c r="A77" s="14" t="s">
        <v>60</v>
      </c>
      <c r="B77" s="14" t="s">
        <v>61</v>
      </c>
      <c r="C77" s="14" t="s">
        <v>138</v>
      </c>
      <c r="D77" s="14" t="s">
        <v>139</v>
      </c>
      <c r="E77" s="14" t="s">
        <v>79</v>
      </c>
      <c r="F77" s="15" t="n">
        <v>112.48</v>
      </c>
      <c r="G77" s="15" t="n">
        <v>112.48</v>
      </c>
      <c r="H77" s="15" t="n">
        <v>0</v>
      </c>
      <c r="I77" s="15" t="n">
        <v>0</v>
      </c>
      <c r="J77" s="15" t="n">
        <v>0</v>
      </c>
      <c r="K77" s="16" t="n">
        <v>0</v>
      </c>
      <c r="L77" s="24" t="n">
        <v>451975.57</v>
      </c>
      <c r="M77" s="24" t="n">
        <v>509092.56</v>
      </c>
    </row>
    <row r="78" customFormat="false" ht="15" hidden="false" customHeight="false" outlineLevel="0" collapsed="false">
      <c r="A78" s="36" t="s">
        <v>60</v>
      </c>
      <c r="B78" s="36" t="s">
        <v>61</v>
      </c>
      <c r="C78" s="36" t="s">
        <v>140</v>
      </c>
      <c r="D78" s="36" t="s">
        <v>141</v>
      </c>
      <c r="E78" s="36" t="s">
        <v>79</v>
      </c>
      <c r="F78" s="37" t="n">
        <v>347.56</v>
      </c>
      <c r="G78" s="37" t="n">
        <v>79.45</v>
      </c>
      <c r="H78" s="37" t="n">
        <v>60.17</v>
      </c>
      <c r="I78" s="37" t="n">
        <v>76.17</v>
      </c>
      <c r="J78" s="37" t="n">
        <v>131.77</v>
      </c>
      <c r="K78" s="38" t="n">
        <v>0.379128783519392</v>
      </c>
      <c r="L78" s="39" t="n">
        <v>1735082.98</v>
      </c>
      <c r="M78" s="39" t="n">
        <v>2011470.39</v>
      </c>
    </row>
    <row r="79" customFormat="false" ht="15" hidden="false" customHeight="false" outlineLevel="0" collapsed="false">
      <c r="A79" s="14" t="s">
        <v>60</v>
      </c>
      <c r="B79" s="14" t="s">
        <v>61</v>
      </c>
      <c r="C79" s="14" t="s">
        <v>142</v>
      </c>
      <c r="D79" s="14" t="s">
        <v>143</v>
      </c>
      <c r="E79" s="14" t="s">
        <v>79</v>
      </c>
      <c r="F79" s="15" t="n">
        <v>23.43</v>
      </c>
      <c r="G79" s="15" t="n">
        <v>23.43</v>
      </c>
      <c r="H79" s="15" t="n">
        <v>0</v>
      </c>
      <c r="I79" s="15" t="n">
        <v>0</v>
      </c>
      <c r="J79" s="15" t="n">
        <v>0</v>
      </c>
      <c r="K79" s="16" t="n">
        <v>0</v>
      </c>
      <c r="L79" s="24" t="n">
        <v>116780.9</v>
      </c>
      <c r="M79" s="24" t="n">
        <v>129390.18</v>
      </c>
    </row>
    <row r="80" customFormat="false" ht="15" hidden="false" customHeight="false" outlineLevel="0" collapsed="false">
      <c r="A80" s="17" t="s">
        <v>60</v>
      </c>
      <c r="B80" s="17" t="s">
        <v>61</v>
      </c>
      <c r="C80" s="17" t="s">
        <v>100</v>
      </c>
      <c r="D80" s="17" t="s">
        <v>101</v>
      </c>
      <c r="E80" s="17" t="s">
        <v>77</v>
      </c>
      <c r="F80" s="18" t="n">
        <v>70.52</v>
      </c>
      <c r="G80" s="18" t="n">
        <v>70.52</v>
      </c>
      <c r="H80" s="18" t="n">
        <v>0</v>
      </c>
      <c r="I80" s="18" t="n">
        <v>0</v>
      </c>
      <c r="J80" s="18" t="n">
        <v>0</v>
      </c>
      <c r="K80" s="19" t="n">
        <v>0</v>
      </c>
      <c r="L80" s="26" t="n">
        <v>595902.61</v>
      </c>
      <c r="M80" s="26" t="n">
        <v>622567.83</v>
      </c>
    </row>
    <row r="81" customFormat="false" ht="15" hidden="false" customHeight="false" outlineLevel="0" collapsed="false">
      <c r="A81" s="14" t="s">
        <v>60</v>
      </c>
      <c r="B81" s="14" t="s">
        <v>61</v>
      </c>
      <c r="C81" s="14" t="s">
        <v>144</v>
      </c>
      <c r="D81" s="14" t="s">
        <v>145</v>
      </c>
      <c r="E81" s="14" t="s">
        <v>77</v>
      </c>
      <c r="F81" s="15" t="n">
        <v>88.33</v>
      </c>
      <c r="G81" s="15" t="n">
        <v>88.33</v>
      </c>
      <c r="H81" s="15" t="n">
        <v>0</v>
      </c>
      <c r="I81" s="15" t="n">
        <v>0</v>
      </c>
      <c r="J81" s="15" t="n">
        <v>0</v>
      </c>
      <c r="K81" s="16" t="n">
        <v>0</v>
      </c>
      <c r="L81" s="24" t="n">
        <v>730401.72</v>
      </c>
      <c r="M81" s="24" t="n">
        <v>756332.15</v>
      </c>
    </row>
    <row r="82" customFormat="false" ht="15" hidden="false" customHeight="false" outlineLevel="0" collapsed="false">
      <c r="A82" s="17" t="s">
        <v>60</v>
      </c>
      <c r="B82" s="17" t="s">
        <v>61</v>
      </c>
      <c r="C82" s="17" t="s">
        <v>102</v>
      </c>
      <c r="D82" s="17" t="s">
        <v>103</v>
      </c>
      <c r="E82" s="17" t="s">
        <v>77</v>
      </c>
      <c r="F82" s="18" t="n">
        <v>90.54</v>
      </c>
      <c r="G82" s="18" t="n">
        <v>90.54</v>
      </c>
      <c r="H82" s="18" t="n">
        <v>0</v>
      </c>
      <c r="I82" s="18" t="n">
        <v>0</v>
      </c>
      <c r="J82" s="18" t="n">
        <v>0</v>
      </c>
      <c r="K82" s="19" t="n">
        <v>0</v>
      </c>
      <c r="L82" s="26" t="n">
        <v>700967.55</v>
      </c>
      <c r="M82" s="26" t="n">
        <v>738730.75</v>
      </c>
    </row>
    <row r="83" customFormat="false" ht="15" hidden="false" customHeight="false" outlineLevel="0" collapsed="false">
      <c r="A83" s="14" t="s">
        <v>60</v>
      </c>
      <c r="B83" s="14" t="s">
        <v>61</v>
      </c>
      <c r="C83" s="14" t="s">
        <v>104</v>
      </c>
      <c r="D83" s="14" t="s">
        <v>105</v>
      </c>
      <c r="E83" s="14" t="s">
        <v>77</v>
      </c>
      <c r="F83" s="15" t="n">
        <v>238.77</v>
      </c>
      <c r="G83" s="15" t="n">
        <v>238.77</v>
      </c>
      <c r="H83" s="15" t="n">
        <v>0</v>
      </c>
      <c r="I83" s="15" t="n">
        <v>0</v>
      </c>
      <c r="J83" s="15" t="n">
        <v>0</v>
      </c>
      <c r="K83" s="16" t="n">
        <v>0</v>
      </c>
      <c r="L83" s="24" t="n">
        <v>957816.75</v>
      </c>
      <c r="M83" s="24" t="n">
        <v>997140.36</v>
      </c>
    </row>
    <row r="84" customFormat="false" ht="15" hidden="false" customHeight="false" outlineLevel="0" collapsed="false">
      <c r="A84" s="17" t="s">
        <v>60</v>
      </c>
      <c r="B84" s="17" t="s">
        <v>61</v>
      </c>
      <c r="C84" s="17" t="s">
        <v>106</v>
      </c>
      <c r="D84" s="17" t="s">
        <v>107</v>
      </c>
      <c r="E84" s="17" t="s">
        <v>77</v>
      </c>
      <c r="F84" s="18" t="n">
        <v>50.06</v>
      </c>
      <c r="G84" s="18" t="n">
        <v>31.49</v>
      </c>
      <c r="H84" s="18" t="n">
        <v>18.57</v>
      </c>
      <c r="I84" s="18" t="n">
        <v>0</v>
      </c>
      <c r="J84" s="18" t="n">
        <v>0</v>
      </c>
      <c r="K84" s="19" t="n">
        <v>0</v>
      </c>
      <c r="L84" s="26" t="n">
        <v>347683.53</v>
      </c>
      <c r="M84" s="26" t="n">
        <v>372150.83</v>
      </c>
    </row>
    <row r="85" customFormat="false" ht="15" hidden="false" customHeight="false" outlineLevel="0" collapsed="false">
      <c r="A85" s="14" t="s">
        <v>60</v>
      </c>
      <c r="B85" s="14" t="s">
        <v>61</v>
      </c>
      <c r="C85" s="14" t="s">
        <v>108</v>
      </c>
      <c r="D85" s="14" t="s">
        <v>109</v>
      </c>
      <c r="E85" s="14" t="s">
        <v>77</v>
      </c>
      <c r="F85" s="15" t="n">
        <v>109.34</v>
      </c>
      <c r="G85" s="15" t="n">
        <v>63.83</v>
      </c>
      <c r="H85" s="15" t="n">
        <v>45.51</v>
      </c>
      <c r="I85" s="15" t="n">
        <v>0</v>
      </c>
      <c r="J85" s="15" t="n">
        <v>0</v>
      </c>
      <c r="K85" s="16" t="n">
        <v>0</v>
      </c>
      <c r="L85" s="24" t="n">
        <v>325948.9</v>
      </c>
      <c r="M85" s="24" t="n">
        <v>354727.72</v>
      </c>
    </row>
    <row r="86" customFormat="false" ht="15" hidden="false" customHeight="false" outlineLevel="0" collapsed="false">
      <c r="A86" s="17" t="s">
        <v>60</v>
      </c>
      <c r="B86" s="17" t="s">
        <v>61</v>
      </c>
      <c r="C86" s="17" t="s">
        <v>110</v>
      </c>
      <c r="D86" s="17" t="s">
        <v>111</v>
      </c>
      <c r="E86" s="17" t="s">
        <v>77</v>
      </c>
      <c r="F86" s="18" t="n">
        <v>52.13</v>
      </c>
      <c r="G86" s="18" t="n">
        <v>52.13</v>
      </c>
      <c r="H86" s="18" t="n">
        <v>0</v>
      </c>
      <c r="I86" s="18" t="n">
        <v>0</v>
      </c>
      <c r="J86" s="18" t="n">
        <v>0</v>
      </c>
      <c r="K86" s="19" t="n">
        <v>0</v>
      </c>
      <c r="L86" s="26" t="n">
        <v>114473.35</v>
      </c>
      <c r="M86" s="26" t="n">
        <v>120903.03</v>
      </c>
    </row>
    <row r="87" customFormat="false" ht="15" hidden="false" customHeight="false" outlineLevel="0" collapsed="false">
      <c r="A87" s="14" t="s">
        <v>60</v>
      </c>
      <c r="B87" s="14" t="s">
        <v>61</v>
      </c>
      <c r="C87" s="14" t="s">
        <v>112</v>
      </c>
      <c r="D87" s="14" t="s">
        <v>113</v>
      </c>
      <c r="E87" s="14" t="s">
        <v>81</v>
      </c>
      <c r="F87" s="15" t="n">
        <v>3108.97</v>
      </c>
      <c r="G87" s="15" t="n">
        <v>3108.97</v>
      </c>
      <c r="H87" s="15" t="n">
        <v>0</v>
      </c>
      <c r="I87" s="15" t="n">
        <v>0</v>
      </c>
      <c r="J87" s="15" t="n">
        <v>0</v>
      </c>
      <c r="K87" s="16" t="n">
        <v>0</v>
      </c>
      <c r="L87" s="24" t="n">
        <v>911055.66</v>
      </c>
      <c r="M87" s="24" t="n">
        <v>1137147.88</v>
      </c>
    </row>
    <row r="88" customFormat="false" ht="15" hidden="false" customHeight="false" outlineLevel="0" collapsed="false">
      <c r="A88" s="17" t="s">
        <v>60</v>
      </c>
      <c r="B88" s="17" t="s">
        <v>61</v>
      </c>
      <c r="C88" s="17" t="s">
        <v>146</v>
      </c>
      <c r="D88" s="17" t="s">
        <v>147</v>
      </c>
      <c r="E88" s="17" t="s">
        <v>81</v>
      </c>
      <c r="F88" s="18" t="n">
        <v>540.19</v>
      </c>
      <c r="G88" s="18" t="n">
        <v>540.19</v>
      </c>
      <c r="H88" s="18" t="n">
        <v>0</v>
      </c>
      <c r="I88" s="18" t="n">
        <v>0</v>
      </c>
      <c r="J88" s="18" t="n">
        <v>0</v>
      </c>
      <c r="K88" s="19" t="n">
        <v>0</v>
      </c>
      <c r="L88" s="26" t="n">
        <v>149960.83</v>
      </c>
      <c r="M88" s="26" t="n">
        <v>177369.4</v>
      </c>
    </row>
    <row r="89" customFormat="false" ht="15" hidden="false" customHeight="false" outlineLevel="0" collapsed="false">
      <c r="A89" s="14" t="s">
        <v>60</v>
      </c>
      <c r="B89" s="14" t="s">
        <v>61</v>
      </c>
      <c r="C89" s="14" t="s">
        <v>148</v>
      </c>
      <c r="D89" s="14" t="s">
        <v>149</v>
      </c>
      <c r="E89" s="14" t="s">
        <v>81</v>
      </c>
      <c r="F89" s="15" t="n">
        <v>2181.77</v>
      </c>
      <c r="G89" s="15" t="n">
        <v>2181.77</v>
      </c>
      <c r="H89" s="15" t="n">
        <v>0</v>
      </c>
      <c r="I89" s="15" t="n">
        <v>0</v>
      </c>
      <c r="J89" s="15" t="n">
        <v>0</v>
      </c>
      <c r="K89" s="16" t="n">
        <v>0</v>
      </c>
      <c r="L89" s="24" t="n">
        <v>652446.78</v>
      </c>
      <c r="M89" s="24" t="n">
        <v>770762.97</v>
      </c>
    </row>
    <row r="90" customFormat="false" ht="15" hidden="false" customHeight="false" outlineLevel="0" collapsed="false">
      <c r="A90" s="17" t="s">
        <v>60</v>
      </c>
      <c r="B90" s="17" t="s">
        <v>61</v>
      </c>
      <c r="C90" s="17" t="s">
        <v>114</v>
      </c>
      <c r="D90" s="17" t="s">
        <v>115</v>
      </c>
      <c r="E90" s="17" t="s">
        <v>81</v>
      </c>
      <c r="F90" s="18" t="n">
        <v>2762.79</v>
      </c>
      <c r="G90" s="18" t="n">
        <v>2762.79</v>
      </c>
      <c r="H90" s="18" t="n">
        <v>0</v>
      </c>
      <c r="I90" s="18" t="n">
        <v>0</v>
      </c>
      <c r="J90" s="18" t="n">
        <v>0</v>
      </c>
      <c r="K90" s="19" t="n">
        <v>0</v>
      </c>
      <c r="L90" s="26" t="n">
        <v>825293.44</v>
      </c>
      <c r="M90" s="26" t="n">
        <v>1034373.03</v>
      </c>
    </row>
    <row r="91" customFormat="false" ht="15" hidden="false" customHeight="false" outlineLevel="0" collapsed="false">
      <c r="A91" s="14" t="s">
        <v>60</v>
      </c>
      <c r="B91" s="14" t="s">
        <v>61</v>
      </c>
      <c r="C91" s="14" t="s">
        <v>150</v>
      </c>
      <c r="D91" s="14" t="s">
        <v>151</v>
      </c>
      <c r="E91" s="14" t="s">
        <v>81</v>
      </c>
      <c r="F91" s="15" t="n">
        <v>546.69</v>
      </c>
      <c r="G91" s="15" t="n">
        <v>546.69</v>
      </c>
      <c r="H91" s="15" t="n">
        <v>0</v>
      </c>
      <c r="I91" s="15" t="n">
        <v>0</v>
      </c>
      <c r="J91" s="15" t="n">
        <v>0</v>
      </c>
      <c r="K91" s="16" t="n">
        <v>0</v>
      </c>
      <c r="L91" s="24" t="n">
        <v>187363.74</v>
      </c>
      <c r="M91" s="24" t="n">
        <v>221529.28</v>
      </c>
    </row>
    <row r="92" customFormat="false" ht="15" hidden="false" customHeight="false" outlineLevel="0" collapsed="false">
      <c r="A92" s="17" t="s">
        <v>60</v>
      </c>
      <c r="B92" s="17" t="s">
        <v>61</v>
      </c>
      <c r="C92" s="17" t="s">
        <v>152</v>
      </c>
      <c r="D92" s="17" t="s">
        <v>153</v>
      </c>
      <c r="E92" s="17" t="s">
        <v>81</v>
      </c>
      <c r="F92" s="18" t="n">
        <v>360.02</v>
      </c>
      <c r="G92" s="18" t="n">
        <v>360.02</v>
      </c>
      <c r="H92" s="18" t="n">
        <v>0</v>
      </c>
      <c r="I92" s="18" t="n">
        <v>0</v>
      </c>
      <c r="J92" s="18" t="n">
        <v>0</v>
      </c>
      <c r="K92" s="19" t="n">
        <v>0</v>
      </c>
      <c r="L92" s="26" t="n">
        <v>116408.83</v>
      </c>
      <c r="M92" s="26" t="n">
        <v>133725.57</v>
      </c>
    </row>
    <row r="93" customFormat="false" ht="15" hidden="false" customHeight="false" outlineLevel="0" collapsed="false">
      <c r="A93" s="14" t="s">
        <v>60</v>
      </c>
      <c r="B93" s="14" t="s">
        <v>61</v>
      </c>
      <c r="C93" s="14" t="s">
        <v>116</v>
      </c>
      <c r="D93" s="14" t="s">
        <v>117</v>
      </c>
      <c r="E93" s="14" t="s">
        <v>81</v>
      </c>
      <c r="F93" s="15" t="n">
        <v>290.24</v>
      </c>
      <c r="G93" s="15" t="n">
        <v>290.24</v>
      </c>
      <c r="H93" s="15" t="n">
        <v>0</v>
      </c>
      <c r="I93" s="15" t="n">
        <v>0</v>
      </c>
      <c r="J93" s="15" t="n">
        <v>0</v>
      </c>
      <c r="K93" s="16" t="n">
        <v>0</v>
      </c>
      <c r="L93" s="24" t="n">
        <v>112695.44</v>
      </c>
      <c r="M93" s="24" t="n">
        <v>132120.42</v>
      </c>
    </row>
    <row r="94" customFormat="false" ht="15" hidden="false" customHeight="false" outlineLevel="0" collapsed="false">
      <c r="A94" s="17" t="s">
        <v>60</v>
      </c>
      <c r="B94" s="17" t="s">
        <v>61</v>
      </c>
      <c r="C94" s="17" t="s">
        <v>154</v>
      </c>
      <c r="D94" s="17" t="s">
        <v>155</v>
      </c>
      <c r="E94" s="17" t="s">
        <v>81</v>
      </c>
      <c r="F94" s="18" t="n">
        <v>304.09</v>
      </c>
      <c r="G94" s="18" t="n">
        <v>304.09</v>
      </c>
      <c r="H94" s="18" t="n">
        <v>0</v>
      </c>
      <c r="I94" s="18" t="n">
        <v>0</v>
      </c>
      <c r="J94" s="18" t="n">
        <v>0</v>
      </c>
      <c r="K94" s="19" t="n">
        <v>0</v>
      </c>
      <c r="L94" s="26" t="n">
        <v>64026.68</v>
      </c>
      <c r="M94" s="26" t="n">
        <v>77951.39</v>
      </c>
    </row>
    <row r="95" customFormat="false" ht="15" hidden="false" customHeight="false" outlineLevel="0" collapsed="false">
      <c r="A95" s="14" t="s">
        <v>60</v>
      </c>
      <c r="B95" s="14" t="s">
        <v>61</v>
      </c>
      <c r="C95" s="14" t="s">
        <v>118</v>
      </c>
      <c r="D95" s="14" t="s">
        <v>119</v>
      </c>
      <c r="E95" s="14" t="s">
        <v>81</v>
      </c>
      <c r="F95" s="15" t="n">
        <v>248.01</v>
      </c>
      <c r="G95" s="15" t="n">
        <v>248.01</v>
      </c>
      <c r="H95" s="15" t="n">
        <v>0</v>
      </c>
      <c r="I95" s="15" t="n">
        <v>0</v>
      </c>
      <c r="J95" s="15" t="n">
        <v>0</v>
      </c>
      <c r="K95" s="16" t="n">
        <v>0</v>
      </c>
      <c r="L95" s="24" t="n">
        <v>79400.2</v>
      </c>
      <c r="M95" s="24" t="n">
        <v>97599.46</v>
      </c>
    </row>
    <row r="96" customFormat="false" ht="15" hidden="false" customHeight="false" outlineLevel="0" collapsed="false">
      <c r="A96" s="17" t="s">
        <v>60</v>
      </c>
      <c r="B96" s="17" t="s">
        <v>61</v>
      </c>
      <c r="C96" s="17" t="s">
        <v>120</v>
      </c>
      <c r="D96" s="17" t="s">
        <v>121</v>
      </c>
      <c r="E96" s="17" t="s">
        <v>80</v>
      </c>
      <c r="F96" s="18" t="n">
        <v>314.57</v>
      </c>
      <c r="G96" s="18" t="n">
        <v>290.67</v>
      </c>
      <c r="H96" s="18" t="n">
        <v>23.9</v>
      </c>
      <c r="I96" s="18" t="n">
        <v>0</v>
      </c>
      <c r="J96" s="18" t="n">
        <v>0</v>
      </c>
      <c r="K96" s="19" t="n">
        <v>0</v>
      </c>
      <c r="L96" s="26" t="n">
        <v>346208.67</v>
      </c>
      <c r="M96" s="26" t="n">
        <v>418707.94</v>
      </c>
    </row>
    <row r="97" customFormat="false" ht="15" hidden="false" customHeight="false" outlineLevel="0" collapsed="false">
      <c r="A97" s="14" t="s">
        <v>60</v>
      </c>
      <c r="B97" s="14" t="s">
        <v>61</v>
      </c>
      <c r="C97" s="14" t="s">
        <v>122</v>
      </c>
      <c r="D97" s="14" t="s">
        <v>123</v>
      </c>
      <c r="E97" s="14" t="s">
        <v>80</v>
      </c>
      <c r="F97" s="15" t="n">
        <v>132.55</v>
      </c>
      <c r="G97" s="15" t="n">
        <v>132.55</v>
      </c>
      <c r="H97" s="15" t="n">
        <v>0</v>
      </c>
      <c r="I97" s="15" t="n">
        <v>0</v>
      </c>
      <c r="J97" s="15" t="n">
        <v>0</v>
      </c>
      <c r="K97" s="16" t="n">
        <v>0</v>
      </c>
      <c r="L97" s="24" t="n">
        <v>122823.93</v>
      </c>
      <c r="M97" s="24" t="n">
        <v>141008.29</v>
      </c>
    </row>
    <row r="98" customFormat="false" ht="15" hidden="false" customHeight="false" outlineLevel="0" collapsed="false">
      <c r="A98" s="17" t="s">
        <v>60</v>
      </c>
      <c r="B98" s="17" t="s">
        <v>61</v>
      </c>
      <c r="C98" s="17" t="s">
        <v>124</v>
      </c>
      <c r="D98" s="17" t="s">
        <v>125</v>
      </c>
      <c r="E98" s="17" t="s">
        <v>80</v>
      </c>
      <c r="F98" s="18" t="n">
        <v>50.23</v>
      </c>
      <c r="G98" s="18" t="n">
        <v>50.23</v>
      </c>
      <c r="H98" s="18" t="n">
        <v>0</v>
      </c>
      <c r="I98" s="18" t="n">
        <v>0</v>
      </c>
      <c r="J98" s="18" t="n">
        <v>0</v>
      </c>
      <c r="K98" s="19" t="n">
        <v>0</v>
      </c>
      <c r="L98" s="26" t="n">
        <v>79918.99</v>
      </c>
      <c r="M98" s="26" t="n">
        <v>89536.78</v>
      </c>
    </row>
    <row r="99" customFormat="false" ht="15" hidden="false" customHeight="false" outlineLevel="0" collapsed="false">
      <c r="A99" s="14" t="s">
        <v>60</v>
      </c>
      <c r="B99" s="14" t="s">
        <v>61</v>
      </c>
      <c r="C99" s="14" t="s">
        <v>126</v>
      </c>
      <c r="D99" s="14" t="s">
        <v>127</v>
      </c>
      <c r="E99" s="14" t="s">
        <v>80</v>
      </c>
      <c r="F99" s="15" t="n">
        <v>20.58</v>
      </c>
      <c r="G99" s="15" t="n">
        <v>19.56</v>
      </c>
      <c r="H99" s="15" t="n">
        <v>1.02</v>
      </c>
      <c r="I99" s="15" t="n">
        <v>0</v>
      </c>
      <c r="J99" s="15" t="n">
        <v>0</v>
      </c>
      <c r="K99" s="16" t="n">
        <v>0</v>
      </c>
      <c r="L99" s="24" t="n">
        <v>24944.51</v>
      </c>
      <c r="M99" s="24" t="n">
        <v>30144.1</v>
      </c>
    </row>
    <row r="100" customFormat="false" ht="15" hidden="false" customHeight="false" outlineLevel="0" collapsed="false">
      <c r="A100" s="40" t="s">
        <v>60</v>
      </c>
      <c r="B100" s="40" t="s">
        <v>61</v>
      </c>
      <c r="C100" s="40" t="s">
        <v>128</v>
      </c>
      <c r="D100" s="40" t="s">
        <v>129</v>
      </c>
      <c r="E100" s="40" t="s">
        <v>80</v>
      </c>
      <c r="F100" s="41" t="n">
        <v>497.12</v>
      </c>
      <c r="G100" s="41" t="n">
        <v>195.65</v>
      </c>
      <c r="H100" s="41" t="n">
        <v>225.76</v>
      </c>
      <c r="I100" s="41" t="n">
        <v>75.71</v>
      </c>
      <c r="J100" s="41" t="n">
        <v>0</v>
      </c>
      <c r="K100" s="42" t="n">
        <v>0</v>
      </c>
      <c r="L100" s="43" t="n">
        <v>189613.11</v>
      </c>
      <c r="M100" s="43" t="n">
        <v>230718.37</v>
      </c>
    </row>
    <row r="101" customFormat="false" ht="15" hidden="false" customHeight="false" outlineLevel="0" collapsed="false">
      <c r="A101" s="36" t="s">
        <v>60</v>
      </c>
      <c r="B101" s="36" t="s">
        <v>61</v>
      </c>
      <c r="C101" s="36" t="s">
        <v>156</v>
      </c>
      <c r="D101" s="36" t="s">
        <v>157</v>
      </c>
      <c r="E101" s="36" t="s">
        <v>80</v>
      </c>
      <c r="F101" s="37" t="n">
        <v>878.09</v>
      </c>
      <c r="G101" s="37" t="n">
        <v>143.3</v>
      </c>
      <c r="H101" s="37" t="n">
        <v>109.93</v>
      </c>
      <c r="I101" s="37" t="n">
        <v>76.66</v>
      </c>
      <c r="J101" s="37" t="n">
        <v>548.2</v>
      </c>
      <c r="K101" s="38" t="n">
        <v>0.624309581022447</v>
      </c>
      <c r="L101" s="39" t="n">
        <v>911632.82</v>
      </c>
      <c r="M101" s="39" t="n">
        <v>1111454.3</v>
      </c>
    </row>
    <row r="102" customFormat="false" ht="15" hidden="false" customHeight="false" outlineLevel="0" collapsed="false">
      <c r="A102" s="17" t="s">
        <v>60</v>
      </c>
      <c r="B102" s="17" t="s">
        <v>61</v>
      </c>
      <c r="C102" s="17" t="s">
        <v>158</v>
      </c>
      <c r="D102" s="17" t="s">
        <v>159</v>
      </c>
      <c r="E102" s="17" t="s">
        <v>80</v>
      </c>
      <c r="F102" s="18" t="n">
        <v>63.32</v>
      </c>
      <c r="G102" s="18" t="n">
        <v>63.32</v>
      </c>
      <c r="H102" s="18" t="n">
        <v>0</v>
      </c>
      <c r="I102" s="18" t="n">
        <v>0</v>
      </c>
      <c r="J102" s="18" t="n">
        <v>0</v>
      </c>
      <c r="K102" s="19" t="n">
        <v>0</v>
      </c>
      <c r="L102" s="26" t="n">
        <v>45695.48</v>
      </c>
      <c r="M102" s="26" t="n">
        <v>50332.24</v>
      </c>
    </row>
    <row r="103" customFormat="false" ht="15" hidden="false" customHeight="false" outlineLevel="0" collapsed="false">
      <c r="A103" s="14" t="s">
        <v>60</v>
      </c>
      <c r="B103" s="14" t="s">
        <v>61</v>
      </c>
      <c r="C103" s="14" t="s">
        <v>130</v>
      </c>
      <c r="D103" s="14" t="s">
        <v>131</v>
      </c>
      <c r="E103" s="14" t="s">
        <v>80</v>
      </c>
      <c r="F103" s="15" t="n">
        <v>83.67</v>
      </c>
      <c r="G103" s="15" t="n">
        <v>83.67</v>
      </c>
      <c r="H103" s="15" t="n">
        <v>0</v>
      </c>
      <c r="I103" s="15" t="n">
        <v>0</v>
      </c>
      <c r="J103" s="15" t="n">
        <v>0</v>
      </c>
      <c r="K103" s="16" t="n">
        <v>0</v>
      </c>
      <c r="L103" s="24" t="n">
        <v>54888.58</v>
      </c>
      <c r="M103" s="24" t="n">
        <v>61036.71</v>
      </c>
    </row>
    <row r="104" customFormat="false" ht="15" hidden="false" customHeight="false" outlineLevel="0" collapsed="false">
      <c r="A104" s="17" t="s">
        <v>62</v>
      </c>
      <c r="B104" s="17" t="s">
        <v>63</v>
      </c>
      <c r="C104" s="17" t="s">
        <v>86</v>
      </c>
      <c r="D104" s="17" t="s">
        <v>87</v>
      </c>
      <c r="E104" s="17" t="s">
        <v>78</v>
      </c>
      <c r="F104" s="18" t="n">
        <v>153.1</v>
      </c>
      <c r="G104" s="18" t="n">
        <v>153.1</v>
      </c>
      <c r="H104" s="18" t="n">
        <v>0</v>
      </c>
      <c r="I104" s="18" t="n">
        <v>0</v>
      </c>
      <c r="J104" s="18" t="n">
        <v>0</v>
      </c>
      <c r="K104" s="19" t="n">
        <v>0</v>
      </c>
      <c r="L104" s="26" t="n">
        <v>272972.76</v>
      </c>
      <c r="M104" s="26" t="n">
        <v>299608</v>
      </c>
    </row>
    <row r="105" customFormat="false" ht="15" hidden="false" customHeight="false" outlineLevel="0" collapsed="false">
      <c r="A105" s="14" t="s">
        <v>62</v>
      </c>
      <c r="B105" s="14" t="s">
        <v>63</v>
      </c>
      <c r="C105" s="14" t="s">
        <v>90</v>
      </c>
      <c r="D105" s="14" t="s">
        <v>91</v>
      </c>
      <c r="E105" s="14" t="s">
        <v>78</v>
      </c>
      <c r="F105" s="15" t="n">
        <v>65.93</v>
      </c>
      <c r="G105" s="15" t="n">
        <v>65.93</v>
      </c>
      <c r="H105" s="15" t="n">
        <v>0</v>
      </c>
      <c r="I105" s="15" t="n">
        <v>0</v>
      </c>
      <c r="J105" s="15" t="n">
        <v>0</v>
      </c>
      <c r="K105" s="16" t="n">
        <v>0</v>
      </c>
      <c r="L105" s="24" t="n">
        <v>105629.74</v>
      </c>
      <c r="M105" s="24" t="n">
        <v>122954.28</v>
      </c>
    </row>
    <row r="106" customFormat="false" ht="15" hidden="false" customHeight="false" outlineLevel="0" collapsed="false">
      <c r="A106" s="17" t="s">
        <v>62</v>
      </c>
      <c r="B106" s="17" t="s">
        <v>63</v>
      </c>
      <c r="C106" s="17" t="s">
        <v>132</v>
      </c>
      <c r="D106" s="17" t="s">
        <v>133</v>
      </c>
      <c r="E106" s="17" t="s">
        <v>78</v>
      </c>
      <c r="F106" s="18" t="n">
        <v>161.56</v>
      </c>
      <c r="G106" s="18" t="n">
        <v>161.56</v>
      </c>
      <c r="H106" s="18" t="n">
        <v>0</v>
      </c>
      <c r="I106" s="18" t="n">
        <v>0</v>
      </c>
      <c r="J106" s="18" t="n">
        <v>0</v>
      </c>
      <c r="K106" s="19" t="n">
        <v>0</v>
      </c>
      <c r="L106" s="26" t="n">
        <v>232117.19</v>
      </c>
      <c r="M106" s="26" t="n">
        <v>262662.99</v>
      </c>
    </row>
    <row r="107" customFormat="false" ht="15" hidden="false" customHeight="false" outlineLevel="0" collapsed="false">
      <c r="A107" s="14" t="s">
        <v>62</v>
      </c>
      <c r="B107" s="14" t="s">
        <v>63</v>
      </c>
      <c r="C107" s="14" t="s">
        <v>92</v>
      </c>
      <c r="D107" s="14" t="s">
        <v>93</v>
      </c>
      <c r="E107" s="14" t="s">
        <v>78</v>
      </c>
      <c r="F107" s="15" t="n">
        <v>93.07</v>
      </c>
      <c r="G107" s="15" t="n">
        <v>93.07</v>
      </c>
      <c r="H107" s="15" t="n">
        <v>0</v>
      </c>
      <c r="I107" s="15" t="n">
        <v>0</v>
      </c>
      <c r="J107" s="15" t="n">
        <v>0</v>
      </c>
      <c r="K107" s="16" t="n">
        <v>0</v>
      </c>
      <c r="L107" s="24" t="n">
        <v>143947.85</v>
      </c>
      <c r="M107" s="24" t="n">
        <v>160377.23</v>
      </c>
    </row>
    <row r="108" customFormat="false" ht="15" hidden="false" customHeight="false" outlineLevel="0" collapsed="false">
      <c r="A108" s="17" t="s">
        <v>62</v>
      </c>
      <c r="B108" s="17" t="s">
        <v>63</v>
      </c>
      <c r="C108" s="17" t="s">
        <v>94</v>
      </c>
      <c r="D108" s="17" t="s">
        <v>95</v>
      </c>
      <c r="E108" s="17" t="s">
        <v>78</v>
      </c>
      <c r="F108" s="18" t="n">
        <v>113.88</v>
      </c>
      <c r="G108" s="18" t="n">
        <v>113.88</v>
      </c>
      <c r="H108" s="18" t="n">
        <v>0</v>
      </c>
      <c r="I108" s="18" t="n">
        <v>0</v>
      </c>
      <c r="J108" s="18" t="n">
        <v>0</v>
      </c>
      <c r="K108" s="19" t="n">
        <v>0</v>
      </c>
      <c r="L108" s="26" t="n">
        <v>167789.74</v>
      </c>
      <c r="M108" s="26" t="n">
        <v>190345.16</v>
      </c>
    </row>
    <row r="109" customFormat="false" ht="15" hidden="false" customHeight="false" outlineLevel="0" collapsed="false">
      <c r="A109" s="14" t="s">
        <v>62</v>
      </c>
      <c r="B109" s="14" t="s">
        <v>63</v>
      </c>
      <c r="C109" s="14" t="s">
        <v>134</v>
      </c>
      <c r="D109" s="14" t="s">
        <v>135</v>
      </c>
      <c r="E109" s="14" t="s">
        <v>78</v>
      </c>
      <c r="F109" s="15" t="n">
        <v>74.14</v>
      </c>
      <c r="G109" s="15" t="n">
        <v>74.14</v>
      </c>
      <c r="H109" s="15" t="n">
        <v>0</v>
      </c>
      <c r="I109" s="15" t="n">
        <v>0</v>
      </c>
      <c r="J109" s="15" t="n">
        <v>0</v>
      </c>
      <c r="K109" s="16" t="n">
        <v>0</v>
      </c>
      <c r="L109" s="24" t="n">
        <v>94492.51</v>
      </c>
      <c r="M109" s="24" t="n">
        <v>105900.79</v>
      </c>
    </row>
    <row r="110" customFormat="false" ht="15" hidden="false" customHeight="false" outlineLevel="0" collapsed="false">
      <c r="A110" s="17" t="s">
        <v>62</v>
      </c>
      <c r="B110" s="17" t="s">
        <v>63</v>
      </c>
      <c r="C110" s="17" t="s">
        <v>96</v>
      </c>
      <c r="D110" s="17" t="s">
        <v>97</v>
      </c>
      <c r="E110" s="17" t="s">
        <v>78</v>
      </c>
      <c r="F110" s="18" t="n">
        <v>47.25</v>
      </c>
      <c r="G110" s="18" t="n">
        <v>47.25</v>
      </c>
      <c r="H110" s="18" t="n">
        <v>0</v>
      </c>
      <c r="I110" s="18" t="n">
        <v>0</v>
      </c>
      <c r="J110" s="18" t="n">
        <v>0</v>
      </c>
      <c r="K110" s="19" t="n">
        <v>0</v>
      </c>
      <c r="L110" s="26" t="n">
        <v>68851.88</v>
      </c>
      <c r="M110" s="26" t="n">
        <v>76932.83</v>
      </c>
    </row>
    <row r="111" customFormat="false" ht="15" hidden="false" customHeight="false" outlineLevel="0" collapsed="false">
      <c r="A111" s="14" t="s">
        <v>62</v>
      </c>
      <c r="B111" s="14" t="s">
        <v>63</v>
      </c>
      <c r="C111" s="14" t="s">
        <v>136</v>
      </c>
      <c r="D111" s="14" t="s">
        <v>137</v>
      </c>
      <c r="E111" s="14" t="s">
        <v>79</v>
      </c>
      <c r="F111" s="15" t="n">
        <v>66.67</v>
      </c>
      <c r="G111" s="15" t="n">
        <v>66.67</v>
      </c>
      <c r="H111" s="15" t="n">
        <v>0</v>
      </c>
      <c r="I111" s="15" t="n">
        <v>0</v>
      </c>
      <c r="J111" s="15" t="n">
        <v>0</v>
      </c>
      <c r="K111" s="16" t="n">
        <v>0</v>
      </c>
      <c r="L111" s="24" t="n">
        <v>354428.23</v>
      </c>
      <c r="M111" s="24" t="n">
        <v>385539.03</v>
      </c>
    </row>
    <row r="112" customFormat="false" ht="15" hidden="false" customHeight="false" outlineLevel="0" collapsed="false">
      <c r="A112" s="17" t="s">
        <v>62</v>
      </c>
      <c r="B112" s="17" t="s">
        <v>63</v>
      </c>
      <c r="C112" s="17" t="s">
        <v>160</v>
      </c>
      <c r="D112" s="17" t="s">
        <v>161</v>
      </c>
      <c r="E112" s="17" t="s">
        <v>79</v>
      </c>
      <c r="F112" s="18" t="n">
        <v>44.18</v>
      </c>
      <c r="G112" s="18" t="n">
        <v>30.11</v>
      </c>
      <c r="H112" s="18" t="n">
        <v>14.07</v>
      </c>
      <c r="I112" s="18" t="n">
        <v>0</v>
      </c>
      <c r="J112" s="18" t="n">
        <v>0</v>
      </c>
      <c r="K112" s="19" t="n">
        <v>0</v>
      </c>
      <c r="L112" s="26" t="n">
        <v>278434.35</v>
      </c>
      <c r="M112" s="26" t="n">
        <v>311862.04</v>
      </c>
    </row>
    <row r="113" customFormat="false" ht="15" hidden="false" customHeight="false" outlineLevel="0" collapsed="false">
      <c r="A113" s="14" t="s">
        <v>62</v>
      </c>
      <c r="B113" s="14" t="s">
        <v>63</v>
      </c>
      <c r="C113" s="14" t="s">
        <v>162</v>
      </c>
      <c r="D113" s="14" t="s">
        <v>163</v>
      </c>
      <c r="E113" s="14" t="s">
        <v>79</v>
      </c>
      <c r="F113" s="15" t="n">
        <v>49.73</v>
      </c>
      <c r="G113" s="15" t="n">
        <v>41.17</v>
      </c>
      <c r="H113" s="15" t="n">
        <v>8.56</v>
      </c>
      <c r="I113" s="15" t="n">
        <v>0</v>
      </c>
      <c r="J113" s="15" t="n">
        <v>0</v>
      </c>
      <c r="K113" s="16" t="n">
        <v>0</v>
      </c>
      <c r="L113" s="24" t="n">
        <v>221637.34</v>
      </c>
      <c r="M113" s="24" t="n">
        <v>252440.38</v>
      </c>
    </row>
    <row r="114" customFormat="false" ht="15" hidden="false" customHeight="false" outlineLevel="0" collapsed="false">
      <c r="A114" s="17" t="s">
        <v>62</v>
      </c>
      <c r="B114" s="17" t="s">
        <v>63</v>
      </c>
      <c r="C114" s="17" t="s">
        <v>164</v>
      </c>
      <c r="D114" s="17" t="s">
        <v>165</v>
      </c>
      <c r="E114" s="17" t="s">
        <v>79</v>
      </c>
      <c r="F114" s="18" t="n">
        <v>22.44</v>
      </c>
      <c r="G114" s="18" t="n">
        <v>21.65</v>
      </c>
      <c r="H114" s="18" t="n">
        <v>0.79</v>
      </c>
      <c r="I114" s="18" t="n">
        <v>0</v>
      </c>
      <c r="J114" s="18" t="n">
        <v>0</v>
      </c>
      <c r="K114" s="19" t="n">
        <v>0</v>
      </c>
      <c r="L114" s="26" t="n">
        <v>123229.03</v>
      </c>
      <c r="M114" s="26" t="n">
        <v>136436.55</v>
      </c>
    </row>
    <row r="115" customFormat="false" ht="15" hidden="false" customHeight="false" outlineLevel="0" collapsed="false">
      <c r="A115" s="14" t="s">
        <v>62</v>
      </c>
      <c r="B115" s="14" t="s">
        <v>63</v>
      </c>
      <c r="C115" s="14" t="s">
        <v>138</v>
      </c>
      <c r="D115" s="14" t="s">
        <v>139</v>
      </c>
      <c r="E115" s="14" t="s">
        <v>79</v>
      </c>
      <c r="F115" s="15" t="n">
        <v>24.19</v>
      </c>
      <c r="G115" s="15" t="n">
        <v>24.19</v>
      </c>
      <c r="H115" s="15" t="n">
        <v>0</v>
      </c>
      <c r="I115" s="15" t="n">
        <v>0</v>
      </c>
      <c r="J115" s="15" t="n">
        <v>0</v>
      </c>
      <c r="K115" s="16" t="n">
        <v>0</v>
      </c>
      <c r="L115" s="24" t="n">
        <v>95985.5</v>
      </c>
      <c r="M115" s="24" t="n">
        <v>109485.68</v>
      </c>
    </row>
    <row r="116" customFormat="false" ht="15" hidden="false" customHeight="false" outlineLevel="0" collapsed="false">
      <c r="A116" s="17" t="s">
        <v>62</v>
      </c>
      <c r="B116" s="17" t="s">
        <v>63</v>
      </c>
      <c r="C116" s="17" t="s">
        <v>140</v>
      </c>
      <c r="D116" s="17" t="s">
        <v>141</v>
      </c>
      <c r="E116" s="17" t="s">
        <v>79</v>
      </c>
      <c r="F116" s="18" t="n">
        <v>54.91</v>
      </c>
      <c r="G116" s="18" t="n">
        <v>52.02</v>
      </c>
      <c r="H116" s="18" t="n">
        <v>2.89</v>
      </c>
      <c r="I116" s="18" t="n">
        <v>0</v>
      </c>
      <c r="J116" s="18" t="n">
        <v>0</v>
      </c>
      <c r="K116" s="19" t="n">
        <v>0</v>
      </c>
      <c r="L116" s="26" t="n">
        <v>286555.46</v>
      </c>
      <c r="M116" s="26" t="n">
        <v>317786.39</v>
      </c>
    </row>
    <row r="117" customFormat="false" ht="15" hidden="false" customHeight="false" outlineLevel="0" collapsed="false">
      <c r="A117" s="14" t="s">
        <v>62</v>
      </c>
      <c r="B117" s="14" t="s">
        <v>63</v>
      </c>
      <c r="C117" s="14" t="s">
        <v>142</v>
      </c>
      <c r="D117" s="14" t="s">
        <v>143</v>
      </c>
      <c r="E117" s="14" t="s">
        <v>79</v>
      </c>
      <c r="F117" s="15" t="n">
        <v>16.8</v>
      </c>
      <c r="G117" s="15" t="n">
        <v>16.8</v>
      </c>
      <c r="H117" s="15" t="n">
        <v>0</v>
      </c>
      <c r="I117" s="15" t="n">
        <v>0</v>
      </c>
      <c r="J117" s="15" t="n">
        <v>0</v>
      </c>
      <c r="K117" s="16" t="n">
        <v>0</v>
      </c>
      <c r="L117" s="24" t="n">
        <v>83339.44</v>
      </c>
      <c r="M117" s="24" t="n">
        <v>92776.57</v>
      </c>
    </row>
    <row r="118" customFormat="false" ht="15" hidden="false" customHeight="false" outlineLevel="0" collapsed="false">
      <c r="A118" s="17" t="s">
        <v>62</v>
      </c>
      <c r="B118" s="17" t="s">
        <v>63</v>
      </c>
      <c r="C118" s="17" t="s">
        <v>144</v>
      </c>
      <c r="D118" s="17" t="s">
        <v>145</v>
      </c>
      <c r="E118" s="17" t="s">
        <v>77</v>
      </c>
      <c r="F118" s="18" t="n">
        <v>127.89</v>
      </c>
      <c r="G118" s="18" t="n">
        <v>127.89</v>
      </c>
      <c r="H118" s="18" t="n">
        <v>0</v>
      </c>
      <c r="I118" s="18" t="n">
        <v>0</v>
      </c>
      <c r="J118" s="18" t="n">
        <v>0</v>
      </c>
      <c r="K118" s="19" t="n">
        <v>0</v>
      </c>
      <c r="L118" s="26" t="n">
        <v>1045724.58</v>
      </c>
      <c r="M118" s="26" t="n">
        <v>1095067.57</v>
      </c>
    </row>
    <row r="119" customFormat="false" ht="15" hidden="false" customHeight="false" outlineLevel="0" collapsed="false">
      <c r="A119" s="14" t="s">
        <v>62</v>
      </c>
      <c r="B119" s="14" t="s">
        <v>63</v>
      </c>
      <c r="C119" s="14" t="s">
        <v>102</v>
      </c>
      <c r="D119" s="14" t="s">
        <v>103</v>
      </c>
      <c r="E119" s="14" t="s">
        <v>77</v>
      </c>
      <c r="F119" s="15" t="n">
        <v>104.85</v>
      </c>
      <c r="G119" s="15" t="n">
        <v>104.85</v>
      </c>
      <c r="H119" s="15" t="n">
        <v>0</v>
      </c>
      <c r="I119" s="15" t="n">
        <v>0</v>
      </c>
      <c r="J119" s="15" t="n">
        <v>0</v>
      </c>
      <c r="K119" s="16" t="n">
        <v>0</v>
      </c>
      <c r="L119" s="24" t="n">
        <v>807399.39</v>
      </c>
      <c r="M119" s="24" t="n">
        <v>855488.39</v>
      </c>
    </row>
    <row r="120" customFormat="false" ht="15" hidden="false" customHeight="false" outlineLevel="0" collapsed="false">
      <c r="A120" s="17" t="s">
        <v>62</v>
      </c>
      <c r="B120" s="17" t="s">
        <v>63</v>
      </c>
      <c r="C120" s="17" t="s">
        <v>104</v>
      </c>
      <c r="D120" s="17" t="s">
        <v>105</v>
      </c>
      <c r="E120" s="17" t="s">
        <v>77</v>
      </c>
      <c r="F120" s="18" t="n">
        <v>114.04</v>
      </c>
      <c r="G120" s="18" t="n">
        <v>114.04</v>
      </c>
      <c r="H120" s="18" t="n">
        <v>0</v>
      </c>
      <c r="I120" s="18" t="n">
        <v>0</v>
      </c>
      <c r="J120" s="18" t="n">
        <v>0</v>
      </c>
      <c r="K120" s="19" t="n">
        <v>0</v>
      </c>
      <c r="L120" s="26" t="n">
        <v>462240.54</v>
      </c>
      <c r="M120" s="26" t="n">
        <v>476248.64</v>
      </c>
    </row>
    <row r="121" customFormat="false" ht="15" hidden="false" customHeight="false" outlineLevel="0" collapsed="false">
      <c r="A121" s="14" t="s">
        <v>62</v>
      </c>
      <c r="B121" s="14" t="s">
        <v>63</v>
      </c>
      <c r="C121" s="14" t="s">
        <v>106</v>
      </c>
      <c r="D121" s="14" t="s">
        <v>107</v>
      </c>
      <c r="E121" s="14" t="s">
        <v>77</v>
      </c>
      <c r="F121" s="15" t="n">
        <v>1.34</v>
      </c>
      <c r="G121" s="15" t="n">
        <v>1.34</v>
      </c>
      <c r="H121" s="15" t="n">
        <v>0</v>
      </c>
      <c r="I121" s="15" t="n">
        <v>0</v>
      </c>
      <c r="J121" s="15" t="n">
        <v>0</v>
      </c>
      <c r="K121" s="16" t="n">
        <v>0</v>
      </c>
      <c r="L121" s="24" t="n">
        <v>9208.44</v>
      </c>
      <c r="M121" s="24" t="n">
        <v>9961.69</v>
      </c>
    </row>
    <row r="122" customFormat="false" ht="15" hidden="false" customHeight="false" outlineLevel="0" collapsed="false">
      <c r="A122" s="17" t="s">
        <v>62</v>
      </c>
      <c r="B122" s="17" t="s">
        <v>63</v>
      </c>
      <c r="C122" s="17" t="s">
        <v>108</v>
      </c>
      <c r="D122" s="17" t="s">
        <v>109</v>
      </c>
      <c r="E122" s="17" t="s">
        <v>77</v>
      </c>
      <c r="F122" s="18" t="n">
        <v>75.03</v>
      </c>
      <c r="G122" s="18" t="n">
        <v>41.11</v>
      </c>
      <c r="H122" s="18" t="n">
        <v>33.92</v>
      </c>
      <c r="I122" s="18" t="n">
        <v>0</v>
      </c>
      <c r="J122" s="18" t="n">
        <v>0</v>
      </c>
      <c r="K122" s="19" t="n">
        <v>0</v>
      </c>
      <c r="L122" s="26" t="n">
        <v>224336.09</v>
      </c>
      <c r="M122" s="26" t="n">
        <v>243417.05</v>
      </c>
    </row>
    <row r="123" customFormat="false" ht="15" hidden="false" customHeight="false" outlineLevel="0" collapsed="false">
      <c r="A123" s="14" t="s">
        <v>62</v>
      </c>
      <c r="B123" s="14" t="s">
        <v>63</v>
      </c>
      <c r="C123" s="14" t="s">
        <v>110</v>
      </c>
      <c r="D123" s="14" t="s">
        <v>111</v>
      </c>
      <c r="E123" s="14" t="s">
        <v>77</v>
      </c>
      <c r="F123" s="15" t="n">
        <v>45.95</v>
      </c>
      <c r="G123" s="15" t="n">
        <v>45.95</v>
      </c>
      <c r="H123" s="15" t="n">
        <v>0</v>
      </c>
      <c r="I123" s="15" t="n">
        <v>0</v>
      </c>
      <c r="J123" s="15" t="n">
        <v>0</v>
      </c>
      <c r="K123" s="16" t="n">
        <v>0</v>
      </c>
      <c r="L123" s="24" t="n">
        <v>101503.93</v>
      </c>
      <c r="M123" s="24" t="n">
        <v>106570</v>
      </c>
    </row>
    <row r="124" customFormat="false" ht="15" hidden="false" customHeight="false" outlineLevel="0" collapsed="false">
      <c r="A124" s="17" t="s">
        <v>62</v>
      </c>
      <c r="B124" s="17" t="s">
        <v>63</v>
      </c>
      <c r="C124" s="17" t="s">
        <v>112</v>
      </c>
      <c r="D124" s="17" t="s">
        <v>113</v>
      </c>
      <c r="E124" s="17" t="s">
        <v>81</v>
      </c>
      <c r="F124" s="18" t="n">
        <v>921.3</v>
      </c>
      <c r="G124" s="18" t="n">
        <v>921.3</v>
      </c>
      <c r="H124" s="18" t="n">
        <v>0</v>
      </c>
      <c r="I124" s="18" t="n">
        <v>0</v>
      </c>
      <c r="J124" s="18" t="n">
        <v>0</v>
      </c>
      <c r="K124" s="19" t="n">
        <v>0</v>
      </c>
      <c r="L124" s="26" t="n">
        <v>272747.46</v>
      </c>
      <c r="M124" s="26" t="n">
        <v>336977.95</v>
      </c>
    </row>
    <row r="125" customFormat="false" ht="15" hidden="false" customHeight="false" outlineLevel="0" collapsed="false">
      <c r="A125" s="14" t="s">
        <v>62</v>
      </c>
      <c r="B125" s="14" t="s">
        <v>63</v>
      </c>
      <c r="C125" s="14" t="s">
        <v>148</v>
      </c>
      <c r="D125" s="14" t="s">
        <v>149</v>
      </c>
      <c r="E125" s="14" t="s">
        <v>81</v>
      </c>
      <c r="F125" s="15" t="n">
        <v>796.04</v>
      </c>
      <c r="G125" s="15" t="n">
        <v>796.04</v>
      </c>
      <c r="H125" s="15" t="n">
        <v>0</v>
      </c>
      <c r="I125" s="15" t="n">
        <v>0</v>
      </c>
      <c r="J125" s="15" t="n">
        <v>0</v>
      </c>
      <c r="K125" s="16" t="n">
        <v>0</v>
      </c>
      <c r="L125" s="24" t="n">
        <v>239638.67</v>
      </c>
      <c r="M125" s="24" t="n">
        <v>281220.37</v>
      </c>
    </row>
    <row r="126" customFormat="false" ht="15" hidden="false" customHeight="false" outlineLevel="0" collapsed="false">
      <c r="A126" s="17" t="s">
        <v>62</v>
      </c>
      <c r="B126" s="17" t="s">
        <v>63</v>
      </c>
      <c r="C126" s="17" t="s">
        <v>114</v>
      </c>
      <c r="D126" s="17" t="s">
        <v>115</v>
      </c>
      <c r="E126" s="17" t="s">
        <v>81</v>
      </c>
      <c r="F126" s="18" t="n">
        <v>1800.65</v>
      </c>
      <c r="G126" s="18" t="n">
        <v>1800.65</v>
      </c>
      <c r="H126" s="18" t="n">
        <v>0</v>
      </c>
      <c r="I126" s="18" t="n">
        <v>0</v>
      </c>
      <c r="J126" s="18" t="n">
        <v>0</v>
      </c>
      <c r="K126" s="19" t="n">
        <v>0</v>
      </c>
      <c r="L126" s="26" t="n">
        <v>531503.03</v>
      </c>
      <c r="M126" s="26" t="n">
        <v>674153.23</v>
      </c>
    </row>
    <row r="127" customFormat="false" ht="15" hidden="false" customHeight="false" outlineLevel="0" collapsed="false">
      <c r="A127" s="14" t="s">
        <v>62</v>
      </c>
      <c r="B127" s="14" t="s">
        <v>63</v>
      </c>
      <c r="C127" s="14" t="s">
        <v>150</v>
      </c>
      <c r="D127" s="14" t="s">
        <v>151</v>
      </c>
      <c r="E127" s="14" t="s">
        <v>81</v>
      </c>
      <c r="F127" s="15" t="n">
        <v>587.64</v>
      </c>
      <c r="G127" s="15" t="n">
        <v>587.64</v>
      </c>
      <c r="H127" s="15" t="n">
        <v>0</v>
      </c>
      <c r="I127" s="15" t="n">
        <v>0</v>
      </c>
      <c r="J127" s="15" t="n">
        <v>0</v>
      </c>
      <c r="K127" s="16" t="n">
        <v>0</v>
      </c>
      <c r="L127" s="24" t="n">
        <v>196979.93</v>
      </c>
      <c r="M127" s="24" t="n">
        <v>238123</v>
      </c>
    </row>
    <row r="128" customFormat="false" ht="15" hidden="false" customHeight="false" outlineLevel="0" collapsed="false">
      <c r="A128" s="17" t="s">
        <v>62</v>
      </c>
      <c r="B128" s="17" t="s">
        <v>63</v>
      </c>
      <c r="C128" s="17" t="s">
        <v>152</v>
      </c>
      <c r="D128" s="17" t="s">
        <v>153</v>
      </c>
      <c r="E128" s="17" t="s">
        <v>81</v>
      </c>
      <c r="F128" s="18" t="n">
        <v>411.72</v>
      </c>
      <c r="G128" s="18" t="n">
        <v>411.72</v>
      </c>
      <c r="H128" s="18" t="n">
        <v>0</v>
      </c>
      <c r="I128" s="18" t="n">
        <v>0</v>
      </c>
      <c r="J128" s="18" t="n">
        <v>0</v>
      </c>
      <c r="K128" s="19" t="n">
        <v>0</v>
      </c>
      <c r="L128" s="26" t="n">
        <v>130732.15</v>
      </c>
      <c r="M128" s="26" t="n">
        <v>152928.98</v>
      </c>
    </row>
    <row r="129" customFormat="false" ht="15" hidden="false" customHeight="false" outlineLevel="0" collapsed="false">
      <c r="A129" s="14" t="s">
        <v>62</v>
      </c>
      <c r="B129" s="14" t="s">
        <v>63</v>
      </c>
      <c r="C129" s="14" t="s">
        <v>116</v>
      </c>
      <c r="D129" s="14" t="s">
        <v>117</v>
      </c>
      <c r="E129" s="14" t="s">
        <v>81</v>
      </c>
      <c r="F129" s="15" t="n">
        <v>123.24</v>
      </c>
      <c r="G129" s="15" t="n">
        <v>123.24</v>
      </c>
      <c r="H129" s="15" t="n">
        <v>0</v>
      </c>
      <c r="I129" s="15" t="n">
        <v>0</v>
      </c>
      <c r="J129" s="15" t="n">
        <v>0</v>
      </c>
      <c r="K129" s="16" t="n">
        <v>0</v>
      </c>
      <c r="L129" s="24" t="n">
        <v>49209.36</v>
      </c>
      <c r="M129" s="24" t="n">
        <v>56100.2</v>
      </c>
    </row>
    <row r="130" customFormat="false" ht="15" hidden="false" customHeight="false" outlineLevel="0" collapsed="false">
      <c r="A130" s="17" t="s">
        <v>62</v>
      </c>
      <c r="B130" s="17" t="s">
        <v>63</v>
      </c>
      <c r="C130" s="17" t="s">
        <v>154</v>
      </c>
      <c r="D130" s="17" t="s">
        <v>155</v>
      </c>
      <c r="E130" s="17" t="s">
        <v>81</v>
      </c>
      <c r="F130" s="18" t="n">
        <v>181.97</v>
      </c>
      <c r="G130" s="18" t="n">
        <v>181.97</v>
      </c>
      <c r="H130" s="18" t="n">
        <v>0</v>
      </c>
      <c r="I130" s="18" t="n">
        <v>0</v>
      </c>
      <c r="J130" s="18" t="n">
        <v>0</v>
      </c>
      <c r="K130" s="19" t="n">
        <v>0</v>
      </c>
      <c r="L130" s="26" t="n">
        <v>38431.37</v>
      </c>
      <c r="M130" s="26" t="n">
        <v>46646.77</v>
      </c>
    </row>
    <row r="131" customFormat="false" ht="15" hidden="false" customHeight="false" outlineLevel="0" collapsed="false">
      <c r="A131" s="14" t="s">
        <v>62</v>
      </c>
      <c r="B131" s="14" t="s">
        <v>63</v>
      </c>
      <c r="C131" s="14" t="s">
        <v>118</v>
      </c>
      <c r="D131" s="14" t="s">
        <v>119</v>
      </c>
      <c r="E131" s="14" t="s">
        <v>81</v>
      </c>
      <c r="F131" s="15" t="n">
        <v>217.06</v>
      </c>
      <c r="G131" s="15" t="n">
        <v>217.06</v>
      </c>
      <c r="H131" s="15" t="n">
        <v>0</v>
      </c>
      <c r="I131" s="15" t="n">
        <v>0</v>
      </c>
      <c r="J131" s="15" t="n">
        <v>0</v>
      </c>
      <c r="K131" s="16" t="n">
        <v>0</v>
      </c>
      <c r="L131" s="24" t="n">
        <v>70472.02</v>
      </c>
      <c r="M131" s="24" t="n">
        <v>85419.69</v>
      </c>
    </row>
    <row r="132" customFormat="false" ht="15" hidden="false" customHeight="false" outlineLevel="0" collapsed="false">
      <c r="A132" s="17" t="s">
        <v>62</v>
      </c>
      <c r="B132" s="17" t="s">
        <v>63</v>
      </c>
      <c r="C132" s="17" t="s">
        <v>124</v>
      </c>
      <c r="D132" s="17" t="s">
        <v>125</v>
      </c>
      <c r="E132" s="17" t="s">
        <v>80</v>
      </c>
      <c r="F132" s="18" t="n">
        <v>44.22</v>
      </c>
      <c r="G132" s="18" t="n">
        <v>44.22</v>
      </c>
      <c r="H132" s="18" t="n">
        <v>0</v>
      </c>
      <c r="I132" s="18" t="n">
        <v>0</v>
      </c>
      <c r="J132" s="18" t="n">
        <v>0</v>
      </c>
      <c r="K132" s="19" t="n">
        <v>0</v>
      </c>
      <c r="L132" s="26" t="n">
        <v>70929.12</v>
      </c>
      <c r="M132" s="26" t="n">
        <v>78823.74</v>
      </c>
    </row>
    <row r="133" customFormat="false" ht="15" hidden="false" customHeight="false" outlineLevel="0" collapsed="false">
      <c r="A133" s="40" t="s">
        <v>62</v>
      </c>
      <c r="B133" s="40" t="s">
        <v>63</v>
      </c>
      <c r="C133" s="40" t="s">
        <v>128</v>
      </c>
      <c r="D133" s="40" t="s">
        <v>129</v>
      </c>
      <c r="E133" s="40" t="s">
        <v>80</v>
      </c>
      <c r="F133" s="41" t="n">
        <v>258.18</v>
      </c>
      <c r="G133" s="41" t="n">
        <v>85.04</v>
      </c>
      <c r="H133" s="41" t="n">
        <v>106.25</v>
      </c>
      <c r="I133" s="41" t="n">
        <v>66.89</v>
      </c>
      <c r="J133" s="41" t="n">
        <v>0</v>
      </c>
      <c r="K133" s="42" t="n">
        <v>0</v>
      </c>
      <c r="L133" s="43" t="n">
        <v>98025.89</v>
      </c>
      <c r="M133" s="43" t="n">
        <v>119823.92</v>
      </c>
    </row>
    <row r="134" customFormat="false" ht="15" hidden="false" customHeight="false" outlineLevel="0" collapsed="false">
      <c r="A134" s="17" t="s">
        <v>62</v>
      </c>
      <c r="B134" s="17" t="s">
        <v>63</v>
      </c>
      <c r="C134" s="17" t="s">
        <v>156</v>
      </c>
      <c r="D134" s="17" t="s">
        <v>157</v>
      </c>
      <c r="E134" s="17" t="s">
        <v>80</v>
      </c>
      <c r="F134" s="18" t="n">
        <v>85.8</v>
      </c>
      <c r="G134" s="18" t="n">
        <v>85.8</v>
      </c>
      <c r="H134" s="18" t="n">
        <v>0</v>
      </c>
      <c r="I134" s="18" t="n">
        <v>0</v>
      </c>
      <c r="J134" s="18" t="n">
        <v>0</v>
      </c>
      <c r="K134" s="19" t="n">
        <v>0</v>
      </c>
      <c r="L134" s="26" t="n">
        <v>91610.97</v>
      </c>
      <c r="M134" s="26" t="n">
        <v>108602.51</v>
      </c>
    </row>
    <row r="135" customFormat="false" ht="15" hidden="false" customHeight="false" outlineLevel="0" collapsed="false">
      <c r="A135" s="14" t="s">
        <v>62</v>
      </c>
      <c r="B135" s="14" t="s">
        <v>63</v>
      </c>
      <c r="C135" s="14" t="s">
        <v>158</v>
      </c>
      <c r="D135" s="14" t="s">
        <v>159</v>
      </c>
      <c r="E135" s="14" t="s">
        <v>80</v>
      </c>
      <c r="F135" s="15" t="n">
        <v>62.86</v>
      </c>
      <c r="G135" s="15" t="n">
        <v>50.98</v>
      </c>
      <c r="H135" s="15" t="n">
        <v>11.88</v>
      </c>
      <c r="I135" s="15" t="n">
        <v>0</v>
      </c>
      <c r="J135" s="15" t="n">
        <v>0</v>
      </c>
      <c r="K135" s="16" t="n">
        <v>0</v>
      </c>
      <c r="L135" s="24" t="n">
        <v>45388.06</v>
      </c>
      <c r="M135" s="24" t="n">
        <v>49966.59</v>
      </c>
    </row>
    <row r="136" customFormat="false" ht="15" hidden="false" customHeight="false" outlineLevel="0" collapsed="false">
      <c r="A136" s="17" t="s">
        <v>62</v>
      </c>
      <c r="B136" s="17" t="s">
        <v>63</v>
      </c>
      <c r="C136" s="17" t="s">
        <v>130</v>
      </c>
      <c r="D136" s="17" t="s">
        <v>131</v>
      </c>
      <c r="E136" s="17" t="s">
        <v>80</v>
      </c>
      <c r="F136" s="18" t="n">
        <v>53.94</v>
      </c>
      <c r="G136" s="18" t="n">
        <v>53.94</v>
      </c>
      <c r="H136" s="18" t="n">
        <v>0</v>
      </c>
      <c r="I136" s="18" t="n">
        <v>0</v>
      </c>
      <c r="J136" s="18" t="n">
        <v>0</v>
      </c>
      <c r="K136" s="19" t="n">
        <v>0</v>
      </c>
      <c r="L136" s="26" t="n">
        <v>35230.94</v>
      </c>
      <c r="M136" s="26" t="n">
        <v>39348.87</v>
      </c>
    </row>
    <row r="137" customFormat="false" ht="15" hidden="false" customHeight="false" outlineLevel="0" collapsed="false">
      <c r="A137" s="36" t="s">
        <v>64</v>
      </c>
      <c r="B137" s="36" t="s">
        <v>65</v>
      </c>
      <c r="C137" s="36" t="s">
        <v>86</v>
      </c>
      <c r="D137" s="36" t="s">
        <v>87</v>
      </c>
      <c r="E137" s="36" t="s">
        <v>78</v>
      </c>
      <c r="F137" s="37" t="n">
        <v>982.23</v>
      </c>
      <c r="G137" s="37" t="n">
        <v>176.67</v>
      </c>
      <c r="H137" s="37" t="n">
        <v>143.85</v>
      </c>
      <c r="I137" s="37" t="n">
        <v>196.16</v>
      </c>
      <c r="J137" s="37" t="n">
        <v>465.55</v>
      </c>
      <c r="K137" s="38" t="n">
        <v>0.473972491168056</v>
      </c>
      <c r="L137" s="39" t="n">
        <v>1608807.64</v>
      </c>
      <c r="M137" s="39" t="n">
        <v>1922168.32</v>
      </c>
    </row>
    <row r="138" customFormat="false" ht="15" hidden="false" customHeight="false" outlineLevel="0" collapsed="false">
      <c r="A138" s="17" t="s">
        <v>64</v>
      </c>
      <c r="B138" s="17" t="s">
        <v>65</v>
      </c>
      <c r="C138" s="17" t="s">
        <v>88</v>
      </c>
      <c r="D138" s="17" t="s">
        <v>89</v>
      </c>
      <c r="E138" s="17" t="s">
        <v>78</v>
      </c>
      <c r="F138" s="18" t="n">
        <v>216.11</v>
      </c>
      <c r="G138" s="18" t="n">
        <v>216.11</v>
      </c>
      <c r="H138" s="18" t="n">
        <v>0</v>
      </c>
      <c r="I138" s="18" t="n">
        <v>0</v>
      </c>
      <c r="J138" s="18" t="n">
        <v>0</v>
      </c>
      <c r="K138" s="19" t="n">
        <v>0</v>
      </c>
      <c r="L138" s="26" t="n">
        <v>364362.26</v>
      </c>
      <c r="M138" s="26" t="n">
        <v>412256.82</v>
      </c>
    </row>
    <row r="139" customFormat="false" ht="15" hidden="false" customHeight="false" outlineLevel="0" collapsed="false">
      <c r="A139" s="14" t="s">
        <v>64</v>
      </c>
      <c r="B139" s="14" t="s">
        <v>65</v>
      </c>
      <c r="C139" s="14" t="s">
        <v>90</v>
      </c>
      <c r="D139" s="14" t="s">
        <v>91</v>
      </c>
      <c r="E139" s="14" t="s">
        <v>78</v>
      </c>
      <c r="F139" s="15" t="n">
        <v>125.04</v>
      </c>
      <c r="G139" s="15" t="n">
        <v>125.04</v>
      </c>
      <c r="H139" s="15" t="n">
        <v>0</v>
      </c>
      <c r="I139" s="15" t="n">
        <v>0</v>
      </c>
      <c r="J139" s="15" t="n">
        <v>0</v>
      </c>
      <c r="K139" s="16" t="n">
        <v>0</v>
      </c>
      <c r="L139" s="24" t="n">
        <v>203478.48</v>
      </c>
      <c r="M139" s="24" t="n">
        <v>233189.79</v>
      </c>
    </row>
    <row r="140" customFormat="false" ht="15" hidden="false" customHeight="false" outlineLevel="0" collapsed="false">
      <c r="A140" s="17" t="s">
        <v>64</v>
      </c>
      <c r="B140" s="17" t="s">
        <v>65</v>
      </c>
      <c r="C140" s="17" t="s">
        <v>132</v>
      </c>
      <c r="D140" s="17" t="s">
        <v>133</v>
      </c>
      <c r="E140" s="17" t="s">
        <v>78</v>
      </c>
      <c r="F140" s="18" t="n">
        <v>224.36</v>
      </c>
      <c r="G140" s="18" t="n">
        <v>224.36</v>
      </c>
      <c r="H140" s="18" t="n">
        <v>0</v>
      </c>
      <c r="I140" s="18" t="n">
        <v>0</v>
      </c>
      <c r="J140" s="18" t="n">
        <v>0</v>
      </c>
      <c r="K140" s="19" t="n">
        <v>0</v>
      </c>
      <c r="L140" s="26" t="n">
        <v>320064.28</v>
      </c>
      <c r="M140" s="26" t="n">
        <v>364762.74</v>
      </c>
    </row>
    <row r="141" customFormat="false" ht="15" hidden="false" customHeight="false" outlineLevel="0" collapsed="false">
      <c r="A141" s="14" t="s">
        <v>64</v>
      </c>
      <c r="B141" s="14" t="s">
        <v>65</v>
      </c>
      <c r="C141" s="14" t="s">
        <v>92</v>
      </c>
      <c r="D141" s="14" t="s">
        <v>93</v>
      </c>
      <c r="E141" s="14" t="s">
        <v>78</v>
      </c>
      <c r="F141" s="15" t="n">
        <v>115.89</v>
      </c>
      <c r="G141" s="15" t="n">
        <v>111.76</v>
      </c>
      <c r="H141" s="15" t="n">
        <v>4.13</v>
      </c>
      <c r="I141" s="15" t="n">
        <v>0</v>
      </c>
      <c r="J141" s="15" t="n">
        <v>0</v>
      </c>
      <c r="K141" s="16" t="n">
        <v>0</v>
      </c>
      <c r="L141" s="24" t="n">
        <v>179377.48</v>
      </c>
      <c r="M141" s="24" t="n">
        <v>199700.41</v>
      </c>
    </row>
    <row r="142" customFormat="false" ht="15" hidden="false" customHeight="false" outlineLevel="0" collapsed="false">
      <c r="A142" s="17" t="s">
        <v>64</v>
      </c>
      <c r="B142" s="17" t="s">
        <v>65</v>
      </c>
      <c r="C142" s="17" t="s">
        <v>94</v>
      </c>
      <c r="D142" s="17" t="s">
        <v>95</v>
      </c>
      <c r="E142" s="17" t="s">
        <v>78</v>
      </c>
      <c r="F142" s="18" t="n">
        <v>148.02</v>
      </c>
      <c r="G142" s="18" t="n">
        <v>148.02</v>
      </c>
      <c r="H142" s="18" t="n">
        <v>0</v>
      </c>
      <c r="I142" s="18" t="n">
        <v>0</v>
      </c>
      <c r="J142" s="18" t="n">
        <v>0</v>
      </c>
      <c r="K142" s="19" t="n">
        <v>0</v>
      </c>
      <c r="L142" s="26" t="n">
        <v>219733.08</v>
      </c>
      <c r="M142" s="26" t="n">
        <v>247408.59</v>
      </c>
    </row>
    <row r="143" customFormat="false" ht="15" hidden="false" customHeight="false" outlineLevel="0" collapsed="false">
      <c r="A143" s="14" t="s">
        <v>64</v>
      </c>
      <c r="B143" s="14" t="s">
        <v>65</v>
      </c>
      <c r="C143" s="14" t="s">
        <v>134</v>
      </c>
      <c r="D143" s="14" t="s">
        <v>135</v>
      </c>
      <c r="E143" s="14" t="s">
        <v>78</v>
      </c>
      <c r="F143" s="15" t="n">
        <v>82.21</v>
      </c>
      <c r="G143" s="15" t="n">
        <v>82.21</v>
      </c>
      <c r="H143" s="15" t="n">
        <v>0</v>
      </c>
      <c r="I143" s="15" t="n">
        <v>0</v>
      </c>
      <c r="J143" s="15" t="n">
        <v>0</v>
      </c>
      <c r="K143" s="16" t="n">
        <v>0</v>
      </c>
      <c r="L143" s="24" t="n">
        <v>103028.05</v>
      </c>
      <c r="M143" s="24" t="n">
        <v>117427.89</v>
      </c>
    </row>
    <row r="144" customFormat="false" ht="15" hidden="false" customHeight="false" outlineLevel="0" collapsed="false">
      <c r="A144" s="17" t="s">
        <v>64</v>
      </c>
      <c r="B144" s="17" t="s">
        <v>65</v>
      </c>
      <c r="C144" s="17" t="s">
        <v>96</v>
      </c>
      <c r="D144" s="17" t="s">
        <v>97</v>
      </c>
      <c r="E144" s="17" t="s">
        <v>78</v>
      </c>
      <c r="F144" s="18" t="n">
        <v>85.29</v>
      </c>
      <c r="G144" s="18" t="n">
        <v>82.83</v>
      </c>
      <c r="H144" s="18" t="n">
        <v>2.46</v>
      </c>
      <c r="I144" s="18" t="n">
        <v>0</v>
      </c>
      <c r="J144" s="18" t="n">
        <v>0</v>
      </c>
      <c r="K144" s="19" t="n">
        <v>0</v>
      </c>
      <c r="L144" s="26" t="n">
        <v>123719.68</v>
      </c>
      <c r="M144" s="26" t="n">
        <v>138869.87</v>
      </c>
    </row>
    <row r="145" customFormat="false" ht="15" hidden="false" customHeight="false" outlineLevel="0" collapsed="false">
      <c r="A145" s="40" t="s">
        <v>64</v>
      </c>
      <c r="B145" s="40" t="s">
        <v>65</v>
      </c>
      <c r="C145" s="40" t="s">
        <v>98</v>
      </c>
      <c r="D145" s="40" t="s">
        <v>99</v>
      </c>
      <c r="E145" s="40" t="s">
        <v>78</v>
      </c>
      <c r="F145" s="41" t="n">
        <v>264.79</v>
      </c>
      <c r="G145" s="41" t="n">
        <v>99.57</v>
      </c>
      <c r="H145" s="41" t="n">
        <v>120.8</v>
      </c>
      <c r="I145" s="41" t="n">
        <v>44.42</v>
      </c>
      <c r="J145" s="41" t="n">
        <v>0</v>
      </c>
      <c r="K145" s="42" t="n">
        <v>0</v>
      </c>
      <c r="L145" s="43" t="n">
        <v>379786.47</v>
      </c>
      <c r="M145" s="43" t="n">
        <v>454397.41</v>
      </c>
    </row>
    <row r="146" customFormat="false" ht="15" hidden="false" customHeight="false" outlineLevel="0" collapsed="false">
      <c r="A146" s="17" t="s">
        <v>64</v>
      </c>
      <c r="B146" s="17" t="s">
        <v>65</v>
      </c>
      <c r="C146" s="17" t="s">
        <v>136</v>
      </c>
      <c r="D146" s="17" t="s">
        <v>137</v>
      </c>
      <c r="E146" s="17" t="s">
        <v>79</v>
      </c>
      <c r="F146" s="18" t="n">
        <v>65.54</v>
      </c>
      <c r="G146" s="18" t="n">
        <v>57.27</v>
      </c>
      <c r="H146" s="18" t="n">
        <v>8.27</v>
      </c>
      <c r="I146" s="18" t="n">
        <v>0</v>
      </c>
      <c r="J146" s="18" t="n">
        <v>0</v>
      </c>
      <c r="K146" s="19" t="n">
        <v>0</v>
      </c>
      <c r="L146" s="26" t="n">
        <v>345596.92</v>
      </c>
      <c r="M146" s="26" t="n">
        <v>379004.47</v>
      </c>
    </row>
    <row r="147" customFormat="false" ht="15" hidden="false" customHeight="false" outlineLevel="0" collapsed="false">
      <c r="A147" s="14" t="s">
        <v>64</v>
      </c>
      <c r="B147" s="14" t="s">
        <v>65</v>
      </c>
      <c r="C147" s="14" t="s">
        <v>160</v>
      </c>
      <c r="D147" s="14" t="s">
        <v>161</v>
      </c>
      <c r="E147" s="14" t="s">
        <v>79</v>
      </c>
      <c r="F147" s="15" t="n">
        <v>35.5</v>
      </c>
      <c r="G147" s="15" t="n">
        <v>35.5</v>
      </c>
      <c r="H147" s="15" t="n">
        <v>0</v>
      </c>
      <c r="I147" s="15" t="n">
        <v>0</v>
      </c>
      <c r="J147" s="15" t="n">
        <v>0</v>
      </c>
      <c r="K147" s="16" t="n">
        <v>0</v>
      </c>
      <c r="L147" s="24" t="n">
        <v>225594.86</v>
      </c>
      <c r="M147" s="24" t="n">
        <v>250590.82</v>
      </c>
    </row>
    <row r="148" customFormat="false" ht="15" hidden="false" customHeight="false" outlineLevel="0" collapsed="false">
      <c r="A148" s="17" t="s">
        <v>64</v>
      </c>
      <c r="B148" s="17" t="s">
        <v>65</v>
      </c>
      <c r="C148" s="17" t="s">
        <v>162</v>
      </c>
      <c r="D148" s="17" t="s">
        <v>163</v>
      </c>
      <c r="E148" s="17" t="s">
        <v>79</v>
      </c>
      <c r="F148" s="18" t="n">
        <v>57.25</v>
      </c>
      <c r="G148" s="18" t="n">
        <v>57.25</v>
      </c>
      <c r="H148" s="18" t="n">
        <v>0</v>
      </c>
      <c r="I148" s="18" t="n">
        <v>0</v>
      </c>
      <c r="J148" s="18" t="n">
        <v>0</v>
      </c>
      <c r="K148" s="19" t="n">
        <v>0</v>
      </c>
      <c r="L148" s="26" t="n">
        <v>257797.43</v>
      </c>
      <c r="M148" s="26" t="n">
        <v>290613.55</v>
      </c>
    </row>
    <row r="149" customFormat="false" ht="15" hidden="false" customHeight="false" outlineLevel="0" collapsed="false">
      <c r="A149" s="14" t="s">
        <v>64</v>
      </c>
      <c r="B149" s="14" t="s">
        <v>65</v>
      </c>
      <c r="C149" s="14" t="s">
        <v>164</v>
      </c>
      <c r="D149" s="14" t="s">
        <v>165</v>
      </c>
      <c r="E149" s="14" t="s">
        <v>79</v>
      </c>
      <c r="F149" s="15" t="n">
        <v>24.61</v>
      </c>
      <c r="G149" s="15" t="n">
        <v>24.61</v>
      </c>
      <c r="H149" s="15" t="n">
        <v>0</v>
      </c>
      <c r="I149" s="15" t="n">
        <v>0</v>
      </c>
      <c r="J149" s="15" t="n">
        <v>0</v>
      </c>
      <c r="K149" s="16" t="n">
        <v>0</v>
      </c>
      <c r="L149" s="24" t="n">
        <v>136286.13</v>
      </c>
      <c r="M149" s="24" t="n">
        <v>149630.28</v>
      </c>
    </row>
    <row r="150" customFormat="false" ht="15" hidden="false" customHeight="false" outlineLevel="0" collapsed="false">
      <c r="A150" s="17" t="s">
        <v>64</v>
      </c>
      <c r="B150" s="17" t="s">
        <v>65</v>
      </c>
      <c r="C150" s="17" t="s">
        <v>138</v>
      </c>
      <c r="D150" s="17" t="s">
        <v>139</v>
      </c>
      <c r="E150" s="17" t="s">
        <v>79</v>
      </c>
      <c r="F150" s="18" t="n">
        <v>59.29</v>
      </c>
      <c r="G150" s="18" t="n">
        <v>44.72</v>
      </c>
      <c r="H150" s="18" t="n">
        <v>14.57</v>
      </c>
      <c r="I150" s="18" t="n">
        <v>0</v>
      </c>
      <c r="J150" s="18" t="n">
        <v>0</v>
      </c>
      <c r="K150" s="19" t="n">
        <v>0</v>
      </c>
      <c r="L150" s="26" t="n">
        <v>234926.6</v>
      </c>
      <c r="M150" s="26" t="n">
        <v>268350.8</v>
      </c>
    </row>
    <row r="151" customFormat="false" ht="15" hidden="false" customHeight="false" outlineLevel="0" collapsed="false">
      <c r="A151" s="14" t="s">
        <v>64</v>
      </c>
      <c r="B151" s="14" t="s">
        <v>65</v>
      </c>
      <c r="C151" s="14" t="s">
        <v>140</v>
      </c>
      <c r="D151" s="14" t="s">
        <v>141</v>
      </c>
      <c r="E151" s="14" t="s">
        <v>79</v>
      </c>
      <c r="F151" s="15" t="n">
        <v>60.78</v>
      </c>
      <c r="G151" s="15" t="n">
        <v>60.62</v>
      </c>
      <c r="H151" s="15" t="n">
        <v>0.16</v>
      </c>
      <c r="I151" s="15" t="n">
        <v>0</v>
      </c>
      <c r="J151" s="15" t="n">
        <v>0</v>
      </c>
      <c r="K151" s="16" t="n">
        <v>0</v>
      </c>
      <c r="L151" s="24" t="n">
        <v>314595.36</v>
      </c>
      <c r="M151" s="24" t="n">
        <v>351758.46</v>
      </c>
    </row>
    <row r="152" customFormat="false" ht="15" hidden="false" customHeight="false" outlineLevel="0" collapsed="false">
      <c r="A152" s="17" t="s">
        <v>64</v>
      </c>
      <c r="B152" s="17" t="s">
        <v>65</v>
      </c>
      <c r="C152" s="17" t="s">
        <v>142</v>
      </c>
      <c r="D152" s="17" t="s">
        <v>143</v>
      </c>
      <c r="E152" s="17" t="s">
        <v>79</v>
      </c>
      <c r="F152" s="18" t="n">
        <v>17.27</v>
      </c>
      <c r="G152" s="18" t="n">
        <v>17.27</v>
      </c>
      <c r="H152" s="18" t="n">
        <v>0</v>
      </c>
      <c r="I152" s="18" t="n">
        <v>0</v>
      </c>
      <c r="J152" s="18" t="n">
        <v>0</v>
      </c>
      <c r="K152" s="19" t="n">
        <v>0</v>
      </c>
      <c r="L152" s="26" t="n">
        <v>85395.89</v>
      </c>
      <c r="M152" s="26" t="n">
        <v>95372.1</v>
      </c>
    </row>
    <row r="153" customFormat="false" ht="15" hidden="false" customHeight="false" outlineLevel="0" collapsed="false">
      <c r="A153" s="14" t="s">
        <v>64</v>
      </c>
      <c r="B153" s="14" t="s">
        <v>65</v>
      </c>
      <c r="C153" s="14" t="s">
        <v>100</v>
      </c>
      <c r="D153" s="14" t="s">
        <v>101</v>
      </c>
      <c r="E153" s="14" t="s">
        <v>77</v>
      </c>
      <c r="F153" s="15" t="n">
        <v>44.78</v>
      </c>
      <c r="G153" s="15" t="n">
        <v>44.78</v>
      </c>
      <c r="H153" s="15" t="n">
        <v>0</v>
      </c>
      <c r="I153" s="15" t="n">
        <v>0</v>
      </c>
      <c r="J153" s="15" t="n">
        <v>0</v>
      </c>
      <c r="K153" s="16" t="n">
        <v>0</v>
      </c>
      <c r="L153" s="24" t="n">
        <v>382167.21</v>
      </c>
      <c r="M153" s="24" t="n">
        <v>395328.81</v>
      </c>
    </row>
    <row r="154" customFormat="false" ht="15" hidden="false" customHeight="false" outlineLevel="0" collapsed="false">
      <c r="A154" s="17" t="s">
        <v>64</v>
      </c>
      <c r="B154" s="17" t="s">
        <v>65</v>
      </c>
      <c r="C154" s="17" t="s">
        <v>144</v>
      </c>
      <c r="D154" s="17" t="s">
        <v>145</v>
      </c>
      <c r="E154" s="17" t="s">
        <v>77</v>
      </c>
      <c r="F154" s="18" t="n">
        <v>81.5</v>
      </c>
      <c r="G154" s="18" t="n">
        <v>81.5</v>
      </c>
      <c r="H154" s="18" t="n">
        <v>0</v>
      </c>
      <c r="I154" s="18" t="n">
        <v>0</v>
      </c>
      <c r="J154" s="18" t="n">
        <v>0</v>
      </c>
      <c r="K154" s="19" t="n">
        <v>0</v>
      </c>
      <c r="L154" s="26" t="n">
        <v>669782.23</v>
      </c>
      <c r="M154" s="26" t="n">
        <v>697849.77</v>
      </c>
    </row>
    <row r="155" customFormat="false" ht="15" hidden="false" customHeight="false" outlineLevel="0" collapsed="false">
      <c r="A155" s="14" t="s">
        <v>64</v>
      </c>
      <c r="B155" s="14" t="s">
        <v>65</v>
      </c>
      <c r="C155" s="14" t="s">
        <v>102</v>
      </c>
      <c r="D155" s="14" t="s">
        <v>103</v>
      </c>
      <c r="E155" s="14" t="s">
        <v>77</v>
      </c>
      <c r="F155" s="15" t="n">
        <v>87.37</v>
      </c>
      <c r="G155" s="15" t="n">
        <v>87.37</v>
      </c>
      <c r="H155" s="15" t="n">
        <v>0</v>
      </c>
      <c r="I155" s="15" t="n">
        <v>0</v>
      </c>
      <c r="J155" s="15" t="n">
        <v>0</v>
      </c>
      <c r="K155" s="16" t="n">
        <v>0</v>
      </c>
      <c r="L155" s="24" t="n">
        <v>673482.44</v>
      </c>
      <c r="M155" s="24" t="n">
        <v>712866.2</v>
      </c>
    </row>
    <row r="156" customFormat="false" ht="15" hidden="false" customHeight="false" outlineLevel="0" collapsed="false">
      <c r="A156" s="17" t="s">
        <v>64</v>
      </c>
      <c r="B156" s="17" t="s">
        <v>65</v>
      </c>
      <c r="C156" s="17" t="s">
        <v>104</v>
      </c>
      <c r="D156" s="17" t="s">
        <v>105</v>
      </c>
      <c r="E156" s="17" t="s">
        <v>77</v>
      </c>
      <c r="F156" s="18" t="n">
        <v>185.61</v>
      </c>
      <c r="G156" s="18" t="n">
        <v>184.54</v>
      </c>
      <c r="H156" s="18" t="n">
        <v>1.07</v>
      </c>
      <c r="I156" s="18" t="n">
        <v>0</v>
      </c>
      <c r="J156" s="18" t="n">
        <v>0</v>
      </c>
      <c r="K156" s="19" t="n">
        <v>0</v>
      </c>
      <c r="L156" s="26" t="n">
        <v>738687.17</v>
      </c>
      <c r="M156" s="26" t="n">
        <v>775136</v>
      </c>
    </row>
    <row r="157" customFormat="false" ht="15" hidden="false" customHeight="false" outlineLevel="0" collapsed="false">
      <c r="A157" s="14" t="s">
        <v>64</v>
      </c>
      <c r="B157" s="14" t="s">
        <v>65</v>
      </c>
      <c r="C157" s="14" t="s">
        <v>106</v>
      </c>
      <c r="D157" s="14" t="s">
        <v>107</v>
      </c>
      <c r="E157" s="14" t="s">
        <v>77</v>
      </c>
      <c r="F157" s="15" t="n">
        <v>39.02</v>
      </c>
      <c r="G157" s="15" t="n">
        <v>39.02</v>
      </c>
      <c r="H157" s="15" t="n">
        <v>0</v>
      </c>
      <c r="I157" s="15" t="n">
        <v>0</v>
      </c>
      <c r="J157" s="15" t="n">
        <v>0</v>
      </c>
      <c r="K157" s="16" t="n">
        <v>0</v>
      </c>
      <c r="L157" s="24" t="n">
        <v>273179.95</v>
      </c>
      <c r="M157" s="24" t="n">
        <v>290078.42</v>
      </c>
    </row>
    <row r="158" customFormat="false" ht="15" hidden="false" customHeight="false" outlineLevel="0" collapsed="false">
      <c r="A158" s="40" t="s">
        <v>64</v>
      </c>
      <c r="B158" s="40" t="s">
        <v>65</v>
      </c>
      <c r="C158" s="40" t="s">
        <v>108</v>
      </c>
      <c r="D158" s="40" t="s">
        <v>109</v>
      </c>
      <c r="E158" s="40" t="s">
        <v>77</v>
      </c>
      <c r="F158" s="41" t="n">
        <v>109.39</v>
      </c>
      <c r="G158" s="41" t="n">
        <v>56.85</v>
      </c>
      <c r="H158" s="41" t="n">
        <v>35.99</v>
      </c>
      <c r="I158" s="41" t="n">
        <v>16.55</v>
      </c>
      <c r="J158" s="41" t="n">
        <v>0</v>
      </c>
      <c r="K158" s="42" t="n">
        <v>0</v>
      </c>
      <c r="L158" s="43" t="n">
        <v>323662.27</v>
      </c>
      <c r="M158" s="43" t="n">
        <v>354889.93</v>
      </c>
    </row>
    <row r="159" customFormat="false" ht="15" hidden="false" customHeight="false" outlineLevel="0" collapsed="false">
      <c r="A159" s="14" t="s">
        <v>64</v>
      </c>
      <c r="B159" s="14" t="s">
        <v>65</v>
      </c>
      <c r="C159" s="14" t="s">
        <v>110</v>
      </c>
      <c r="D159" s="14" t="s">
        <v>111</v>
      </c>
      <c r="E159" s="14" t="s">
        <v>77</v>
      </c>
      <c r="F159" s="15" t="n">
        <v>53.41</v>
      </c>
      <c r="G159" s="15" t="n">
        <v>53.41</v>
      </c>
      <c r="H159" s="15" t="n">
        <v>0</v>
      </c>
      <c r="I159" s="15" t="n">
        <v>0</v>
      </c>
      <c r="J159" s="15" t="n">
        <v>0</v>
      </c>
      <c r="K159" s="16" t="n">
        <v>0</v>
      </c>
      <c r="L159" s="24" t="n">
        <v>118292.17</v>
      </c>
      <c r="M159" s="24" t="n">
        <v>123871.68</v>
      </c>
    </row>
    <row r="160" customFormat="false" ht="15" hidden="false" customHeight="false" outlineLevel="0" collapsed="false">
      <c r="A160" s="17" t="s">
        <v>64</v>
      </c>
      <c r="B160" s="17" t="s">
        <v>65</v>
      </c>
      <c r="C160" s="17" t="s">
        <v>112</v>
      </c>
      <c r="D160" s="17" t="s">
        <v>113</v>
      </c>
      <c r="E160" s="17" t="s">
        <v>81</v>
      </c>
      <c r="F160" s="18" t="n">
        <v>1094.95</v>
      </c>
      <c r="G160" s="18" t="n">
        <v>1094.95</v>
      </c>
      <c r="H160" s="18" t="n">
        <v>0</v>
      </c>
      <c r="I160" s="18" t="n">
        <v>0</v>
      </c>
      <c r="J160" s="18" t="n">
        <v>0</v>
      </c>
      <c r="K160" s="19" t="n">
        <v>0</v>
      </c>
      <c r="L160" s="26" t="n">
        <v>328367.81</v>
      </c>
      <c r="M160" s="26" t="n">
        <v>400492.79</v>
      </c>
    </row>
    <row r="161" customFormat="false" ht="15" hidden="false" customHeight="false" outlineLevel="0" collapsed="false">
      <c r="A161" s="14" t="s">
        <v>64</v>
      </c>
      <c r="B161" s="14" t="s">
        <v>65</v>
      </c>
      <c r="C161" s="14" t="s">
        <v>146</v>
      </c>
      <c r="D161" s="14" t="s">
        <v>147</v>
      </c>
      <c r="E161" s="14" t="s">
        <v>81</v>
      </c>
      <c r="F161" s="15" t="n">
        <v>660.11</v>
      </c>
      <c r="G161" s="15" t="n">
        <v>660.11</v>
      </c>
      <c r="H161" s="15" t="n">
        <v>0</v>
      </c>
      <c r="I161" s="15" t="n">
        <v>0</v>
      </c>
      <c r="J161" s="15" t="n">
        <v>0</v>
      </c>
      <c r="K161" s="16" t="n">
        <v>0</v>
      </c>
      <c r="L161" s="24" t="n">
        <v>184434.65</v>
      </c>
      <c r="M161" s="24" t="n">
        <v>216744.69</v>
      </c>
    </row>
    <row r="162" customFormat="false" ht="15" hidden="false" customHeight="false" outlineLevel="0" collapsed="false">
      <c r="A162" s="17" t="s">
        <v>64</v>
      </c>
      <c r="B162" s="17" t="s">
        <v>65</v>
      </c>
      <c r="C162" s="17" t="s">
        <v>148</v>
      </c>
      <c r="D162" s="17" t="s">
        <v>149</v>
      </c>
      <c r="E162" s="17" t="s">
        <v>81</v>
      </c>
      <c r="F162" s="18" t="n">
        <v>1190</v>
      </c>
      <c r="G162" s="18" t="n">
        <v>1190</v>
      </c>
      <c r="H162" s="18" t="n">
        <v>0</v>
      </c>
      <c r="I162" s="18" t="n">
        <v>0</v>
      </c>
      <c r="J162" s="18" t="n">
        <v>0</v>
      </c>
      <c r="K162" s="19" t="n">
        <v>0</v>
      </c>
      <c r="L162" s="26" t="n">
        <v>359744.27</v>
      </c>
      <c r="M162" s="26" t="n">
        <v>420396.26</v>
      </c>
    </row>
    <row r="163" customFormat="false" ht="15" hidden="false" customHeight="false" outlineLevel="0" collapsed="false">
      <c r="A163" s="14" t="s">
        <v>64</v>
      </c>
      <c r="B163" s="14" t="s">
        <v>65</v>
      </c>
      <c r="C163" s="14" t="s">
        <v>114</v>
      </c>
      <c r="D163" s="14" t="s">
        <v>115</v>
      </c>
      <c r="E163" s="14" t="s">
        <v>81</v>
      </c>
      <c r="F163" s="15" t="n">
        <v>1207.55</v>
      </c>
      <c r="G163" s="15" t="n">
        <v>1207.55</v>
      </c>
      <c r="H163" s="15" t="n">
        <v>0</v>
      </c>
      <c r="I163" s="15" t="n">
        <v>0</v>
      </c>
      <c r="J163" s="15" t="n">
        <v>0</v>
      </c>
      <c r="K163" s="16" t="n">
        <v>0</v>
      </c>
      <c r="L163" s="24" t="n">
        <v>360347.49</v>
      </c>
      <c r="M163" s="24" t="n">
        <v>452099.93</v>
      </c>
    </row>
    <row r="164" customFormat="false" ht="15" hidden="false" customHeight="false" outlineLevel="0" collapsed="false">
      <c r="A164" s="17" t="s">
        <v>64</v>
      </c>
      <c r="B164" s="17" t="s">
        <v>65</v>
      </c>
      <c r="C164" s="17" t="s">
        <v>150</v>
      </c>
      <c r="D164" s="17" t="s">
        <v>151</v>
      </c>
      <c r="E164" s="17" t="s">
        <v>81</v>
      </c>
      <c r="F164" s="18" t="n">
        <v>298.1</v>
      </c>
      <c r="G164" s="18" t="n">
        <v>298.1</v>
      </c>
      <c r="H164" s="18" t="n">
        <v>0</v>
      </c>
      <c r="I164" s="18" t="n">
        <v>0</v>
      </c>
      <c r="J164" s="18" t="n">
        <v>0</v>
      </c>
      <c r="K164" s="19" t="n">
        <v>0</v>
      </c>
      <c r="L164" s="26" t="n">
        <v>101617.94</v>
      </c>
      <c r="M164" s="26" t="n">
        <v>120795.84</v>
      </c>
    </row>
    <row r="165" customFormat="false" ht="15" hidden="false" customHeight="false" outlineLevel="0" collapsed="false">
      <c r="A165" s="14" t="s">
        <v>64</v>
      </c>
      <c r="B165" s="14" t="s">
        <v>65</v>
      </c>
      <c r="C165" s="14" t="s">
        <v>152</v>
      </c>
      <c r="D165" s="14" t="s">
        <v>153</v>
      </c>
      <c r="E165" s="14" t="s">
        <v>81</v>
      </c>
      <c r="F165" s="15" t="n">
        <v>602.96</v>
      </c>
      <c r="G165" s="15" t="n">
        <v>602.96</v>
      </c>
      <c r="H165" s="15" t="n">
        <v>0</v>
      </c>
      <c r="I165" s="15" t="n">
        <v>0</v>
      </c>
      <c r="J165" s="15" t="n">
        <v>0</v>
      </c>
      <c r="K165" s="16" t="n">
        <v>0</v>
      </c>
      <c r="L165" s="24" t="n">
        <v>192591.58</v>
      </c>
      <c r="M165" s="24" t="n">
        <v>223963.03</v>
      </c>
    </row>
    <row r="166" customFormat="false" ht="15" hidden="false" customHeight="false" outlineLevel="0" collapsed="false">
      <c r="A166" s="17" t="s">
        <v>64</v>
      </c>
      <c r="B166" s="17" t="s">
        <v>65</v>
      </c>
      <c r="C166" s="17" t="s">
        <v>116</v>
      </c>
      <c r="D166" s="17" t="s">
        <v>117</v>
      </c>
      <c r="E166" s="17" t="s">
        <v>81</v>
      </c>
      <c r="F166" s="18" t="n">
        <v>142.95</v>
      </c>
      <c r="G166" s="18" t="n">
        <v>142.95</v>
      </c>
      <c r="H166" s="18" t="n">
        <v>0</v>
      </c>
      <c r="I166" s="18" t="n">
        <v>0</v>
      </c>
      <c r="J166" s="18" t="n">
        <v>0</v>
      </c>
      <c r="K166" s="19" t="n">
        <v>0</v>
      </c>
      <c r="L166" s="26" t="n">
        <v>56306.27</v>
      </c>
      <c r="M166" s="26" t="n">
        <v>65072.4</v>
      </c>
    </row>
    <row r="167" customFormat="false" ht="15" hidden="false" customHeight="false" outlineLevel="0" collapsed="false">
      <c r="A167" s="14" t="s">
        <v>64</v>
      </c>
      <c r="B167" s="14" t="s">
        <v>65</v>
      </c>
      <c r="C167" s="14" t="s">
        <v>154</v>
      </c>
      <c r="D167" s="14" t="s">
        <v>155</v>
      </c>
      <c r="E167" s="14" t="s">
        <v>81</v>
      </c>
      <c r="F167" s="15" t="n">
        <v>256.32</v>
      </c>
      <c r="G167" s="15" t="n">
        <v>256.32</v>
      </c>
      <c r="H167" s="15" t="n">
        <v>0</v>
      </c>
      <c r="I167" s="15" t="n">
        <v>0</v>
      </c>
      <c r="J167" s="15" t="n">
        <v>0</v>
      </c>
      <c r="K167" s="16" t="n">
        <v>0</v>
      </c>
      <c r="L167" s="24" t="n">
        <v>54065.43</v>
      </c>
      <c r="M167" s="24" t="n">
        <v>65705.88</v>
      </c>
    </row>
    <row r="168" customFormat="false" ht="15" hidden="false" customHeight="false" outlineLevel="0" collapsed="false">
      <c r="A168" s="17" t="s">
        <v>64</v>
      </c>
      <c r="B168" s="17" t="s">
        <v>65</v>
      </c>
      <c r="C168" s="17" t="s">
        <v>120</v>
      </c>
      <c r="D168" s="17" t="s">
        <v>121</v>
      </c>
      <c r="E168" s="17" t="s">
        <v>80</v>
      </c>
      <c r="F168" s="18" t="n">
        <v>117.2</v>
      </c>
      <c r="G168" s="18" t="n">
        <v>117.2</v>
      </c>
      <c r="H168" s="18" t="n">
        <v>0</v>
      </c>
      <c r="I168" s="18" t="n">
        <v>0</v>
      </c>
      <c r="J168" s="18" t="n">
        <v>0</v>
      </c>
      <c r="K168" s="19" t="n">
        <v>0</v>
      </c>
      <c r="L168" s="26" t="n">
        <v>127644.67</v>
      </c>
      <c r="M168" s="26" t="n">
        <v>155998.89</v>
      </c>
    </row>
    <row r="169" customFormat="false" ht="15" hidden="false" customHeight="false" outlineLevel="0" collapsed="false">
      <c r="A169" s="14" t="s">
        <v>64</v>
      </c>
      <c r="B169" s="14" t="s">
        <v>65</v>
      </c>
      <c r="C169" s="14" t="s">
        <v>122</v>
      </c>
      <c r="D169" s="14" t="s">
        <v>123</v>
      </c>
      <c r="E169" s="14" t="s">
        <v>80</v>
      </c>
      <c r="F169" s="15" t="n">
        <v>113.02</v>
      </c>
      <c r="G169" s="15" t="n">
        <v>95.91</v>
      </c>
      <c r="H169" s="15" t="n">
        <v>17.11</v>
      </c>
      <c r="I169" s="15" t="n">
        <v>0</v>
      </c>
      <c r="J169" s="15" t="n">
        <v>0</v>
      </c>
      <c r="K169" s="16" t="n">
        <v>0</v>
      </c>
      <c r="L169" s="24" t="n">
        <v>104091.96</v>
      </c>
      <c r="M169" s="24" t="n">
        <v>120232.04</v>
      </c>
    </row>
    <row r="170" customFormat="false" ht="15" hidden="false" customHeight="false" outlineLevel="0" collapsed="false">
      <c r="A170" s="17" t="s">
        <v>64</v>
      </c>
      <c r="B170" s="17" t="s">
        <v>65</v>
      </c>
      <c r="C170" s="17" t="s">
        <v>124</v>
      </c>
      <c r="D170" s="17" t="s">
        <v>125</v>
      </c>
      <c r="E170" s="17" t="s">
        <v>80</v>
      </c>
      <c r="F170" s="18" t="n">
        <v>48.68</v>
      </c>
      <c r="G170" s="18" t="n">
        <v>34.04</v>
      </c>
      <c r="H170" s="18" t="n">
        <v>14.64</v>
      </c>
      <c r="I170" s="18" t="n">
        <v>0</v>
      </c>
      <c r="J170" s="18" t="n">
        <v>0</v>
      </c>
      <c r="K170" s="19" t="n">
        <v>0</v>
      </c>
      <c r="L170" s="26" t="n">
        <v>77745.15</v>
      </c>
      <c r="M170" s="26" t="n">
        <v>86773.85</v>
      </c>
    </row>
    <row r="171" customFormat="false" ht="15" hidden="false" customHeight="false" outlineLevel="0" collapsed="false">
      <c r="A171" s="14" t="s">
        <v>64</v>
      </c>
      <c r="B171" s="14" t="s">
        <v>65</v>
      </c>
      <c r="C171" s="14" t="s">
        <v>126</v>
      </c>
      <c r="D171" s="14" t="s">
        <v>127</v>
      </c>
      <c r="E171" s="14" t="s">
        <v>80</v>
      </c>
      <c r="F171" s="15" t="n">
        <v>18.38</v>
      </c>
      <c r="G171" s="15" t="n">
        <v>9.31</v>
      </c>
      <c r="H171" s="15" t="n">
        <v>9.07</v>
      </c>
      <c r="I171" s="15" t="n">
        <v>0</v>
      </c>
      <c r="J171" s="15" t="n">
        <v>0</v>
      </c>
      <c r="K171" s="16" t="n">
        <v>0</v>
      </c>
      <c r="L171" s="24" t="n">
        <v>22394.84</v>
      </c>
      <c r="M171" s="24" t="n">
        <v>26921.7</v>
      </c>
    </row>
    <row r="172" customFormat="false" ht="15" hidden="false" customHeight="false" outlineLevel="0" collapsed="false">
      <c r="A172" s="40" t="s">
        <v>64</v>
      </c>
      <c r="B172" s="40" t="s">
        <v>65</v>
      </c>
      <c r="C172" s="40" t="s">
        <v>128</v>
      </c>
      <c r="D172" s="40" t="s">
        <v>129</v>
      </c>
      <c r="E172" s="40" t="s">
        <v>80</v>
      </c>
      <c r="F172" s="41" t="n">
        <v>417.39</v>
      </c>
      <c r="G172" s="41" t="n">
        <v>176.13</v>
      </c>
      <c r="H172" s="41" t="n">
        <v>155.14</v>
      </c>
      <c r="I172" s="41" t="n">
        <v>86.12</v>
      </c>
      <c r="J172" s="41" t="n">
        <v>0</v>
      </c>
      <c r="K172" s="42" t="n">
        <v>0</v>
      </c>
      <c r="L172" s="43" t="n">
        <v>159788.35</v>
      </c>
      <c r="M172" s="43" t="n">
        <v>193714.88</v>
      </c>
    </row>
    <row r="173" customFormat="false" ht="15" hidden="false" customHeight="false" outlineLevel="0" collapsed="false">
      <c r="A173" s="14" t="s">
        <v>64</v>
      </c>
      <c r="B173" s="14" t="s">
        <v>65</v>
      </c>
      <c r="C173" s="14" t="s">
        <v>156</v>
      </c>
      <c r="D173" s="14" t="s">
        <v>157</v>
      </c>
      <c r="E173" s="14" t="s">
        <v>80</v>
      </c>
      <c r="F173" s="15" t="n">
        <v>134.84</v>
      </c>
      <c r="G173" s="15" t="n">
        <v>134.84</v>
      </c>
      <c r="H173" s="15" t="n">
        <v>0</v>
      </c>
      <c r="I173" s="15" t="n">
        <v>0</v>
      </c>
      <c r="J173" s="15" t="n">
        <v>0</v>
      </c>
      <c r="K173" s="16" t="n">
        <v>0</v>
      </c>
      <c r="L173" s="24" t="n">
        <v>143454.58</v>
      </c>
      <c r="M173" s="24" t="n">
        <v>170675.56</v>
      </c>
    </row>
    <row r="174" customFormat="false" ht="15" hidden="false" customHeight="false" outlineLevel="0" collapsed="false">
      <c r="A174" s="17" t="s">
        <v>64</v>
      </c>
      <c r="B174" s="17" t="s">
        <v>65</v>
      </c>
      <c r="C174" s="17" t="s">
        <v>158</v>
      </c>
      <c r="D174" s="17" t="s">
        <v>159</v>
      </c>
      <c r="E174" s="17" t="s">
        <v>80</v>
      </c>
      <c r="F174" s="18" t="n">
        <v>64.7</v>
      </c>
      <c r="G174" s="18" t="n">
        <v>64.7</v>
      </c>
      <c r="H174" s="18" t="n">
        <v>0</v>
      </c>
      <c r="I174" s="18" t="n">
        <v>0</v>
      </c>
      <c r="J174" s="18" t="n">
        <v>0</v>
      </c>
      <c r="K174" s="19" t="n">
        <v>0</v>
      </c>
      <c r="L174" s="26" t="n">
        <v>46249.22</v>
      </c>
      <c r="M174" s="26" t="n">
        <v>51429.19</v>
      </c>
    </row>
    <row r="175" customFormat="false" ht="15" hidden="false" customHeight="false" outlineLevel="0" collapsed="false">
      <c r="A175" s="14" t="s">
        <v>64</v>
      </c>
      <c r="B175" s="14" t="s">
        <v>65</v>
      </c>
      <c r="C175" s="14" t="s">
        <v>130</v>
      </c>
      <c r="D175" s="14" t="s">
        <v>131</v>
      </c>
      <c r="E175" s="14" t="s">
        <v>80</v>
      </c>
      <c r="F175" s="15" t="n">
        <v>66.17</v>
      </c>
      <c r="G175" s="15" t="n">
        <v>66.17</v>
      </c>
      <c r="H175" s="15" t="n">
        <v>0</v>
      </c>
      <c r="I175" s="15" t="n">
        <v>0</v>
      </c>
      <c r="J175" s="15" t="n">
        <v>0</v>
      </c>
      <c r="K175" s="16" t="n">
        <v>0</v>
      </c>
      <c r="L175" s="24" t="n">
        <v>42821.31</v>
      </c>
      <c r="M175" s="24" t="n">
        <v>48270.58</v>
      </c>
    </row>
    <row r="176" customFormat="false" ht="15" hidden="false" customHeight="false" outlineLevel="0" collapsed="false">
      <c r="A176" s="17" t="s">
        <v>66</v>
      </c>
      <c r="B176" s="17" t="s">
        <v>67</v>
      </c>
      <c r="C176" s="17" t="s">
        <v>86</v>
      </c>
      <c r="D176" s="17" t="s">
        <v>87</v>
      </c>
      <c r="E176" s="17" t="s">
        <v>78</v>
      </c>
      <c r="F176" s="18" t="n">
        <v>45.52</v>
      </c>
      <c r="G176" s="18" t="n">
        <v>45.52</v>
      </c>
      <c r="H176" s="18" t="n">
        <v>0</v>
      </c>
      <c r="I176" s="18" t="n">
        <v>0</v>
      </c>
      <c r="J176" s="18" t="n">
        <v>0</v>
      </c>
      <c r="K176" s="19" t="n">
        <v>0</v>
      </c>
      <c r="L176" s="26" t="n">
        <v>81635.84</v>
      </c>
      <c r="M176" s="26" t="n">
        <v>89080.05</v>
      </c>
    </row>
    <row r="177" customFormat="false" ht="15" hidden="false" customHeight="false" outlineLevel="0" collapsed="false">
      <c r="A177" s="14" t="s">
        <v>66</v>
      </c>
      <c r="B177" s="14" t="s">
        <v>67</v>
      </c>
      <c r="C177" s="14" t="s">
        <v>88</v>
      </c>
      <c r="D177" s="14" t="s">
        <v>89</v>
      </c>
      <c r="E177" s="14" t="s">
        <v>78</v>
      </c>
      <c r="F177" s="15" t="n">
        <v>86.47</v>
      </c>
      <c r="G177" s="15" t="n">
        <v>86.47</v>
      </c>
      <c r="H177" s="15" t="n">
        <v>0</v>
      </c>
      <c r="I177" s="15" t="n">
        <v>0</v>
      </c>
      <c r="J177" s="15" t="n">
        <v>0</v>
      </c>
      <c r="K177" s="16" t="n">
        <v>0</v>
      </c>
      <c r="L177" s="24" t="n">
        <v>147433.63</v>
      </c>
      <c r="M177" s="24" t="n">
        <v>164952.33</v>
      </c>
    </row>
    <row r="178" customFormat="false" ht="15" hidden="false" customHeight="false" outlineLevel="0" collapsed="false">
      <c r="A178" s="17" t="s">
        <v>66</v>
      </c>
      <c r="B178" s="17" t="s">
        <v>67</v>
      </c>
      <c r="C178" s="17" t="s">
        <v>90</v>
      </c>
      <c r="D178" s="17" t="s">
        <v>91</v>
      </c>
      <c r="E178" s="17" t="s">
        <v>78</v>
      </c>
      <c r="F178" s="18" t="n">
        <v>39.72</v>
      </c>
      <c r="G178" s="18" t="n">
        <v>39.72</v>
      </c>
      <c r="H178" s="18" t="n">
        <v>0</v>
      </c>
      <c r="I178" s="18" t="n">
        <v>0</v>
      </c>
      <c r="J178" s="18" t="n">
        <v>0</v>
      </c>
      <c r="K178" s="19" t="n">
        <v>0</v>
      </c>
      <c r="L178" s="26" t="n">
        <v>64236.8</v>
      </c>
      <c r="M178" s="26" t="n">
        <v>74074.68</v>
      </c>
    </row>
    <row r="179" customFormat="false" ht="15" hidden="false" customHeight="false" outlineLevel="0" collapsed="false">
      <c r="A179" s="40" t="s">
        <v>66</v>
      </c>
      <c r="B179" s="40" t="s">
        <v>67</v>
      </c>
      <c r="C179" s="40" t="s">
        <v>92</v>
      </c>
      <c r="D179" s="40" t="s">
        <v>93</v>
      </c>
      <c r="E179" s="40" t="s">
        <v>78</v>
      </c>
      <c r="F179" s="41" t="n">
        <v>195.4</v>
      </c>
      <c r="G179" s="41" t="n">
        <v>23.09</v>
      </c>
      <c r="H179" s="41" t="n">
        <v>75.27</v>
      </c>
      <c r="I179" s="41" t="n">
        <v>70.3</v>
      </c>
      <c r="J179" s="41" t="n">
        <v>26.74</v>
      </c>
      <c r="K179" s="42" t="n">
        <v>0.136847492323439</v>
      </c>
      <c r="L179" s="43" t="n">
        <v>281649.88</v>
      </c>
      <c r="M179" s="43" t="n">
        <v>336711.2</v>
      </c>
    </row>
    <row r="180" customFormat="false" ht="15" hidden="false" customHeight="false" outlineLevel="0" collapsed="false">
      <c r="A180" s="17" t="s">
        <v>66</v>
      </c>
      <c r="B180" s="17" t="s">
        <v>67</v>
      </c>
      <c r="C180" s="17" t="s">
        <v>94</v>
      </c>
      <c r="D180" s="17" t="s">
        <v>95</v>
      </c>
      <c r="E180" s="17" t="s">
        <v>78</v>
      </c>
      <c r="F180" s="18" t="n">
        <v>68.38</v>
      </c>
      <c r="G180" s="18" t="n">
        <v>56.79</v>
      </c>
      <c r="H180" s="18" t="n">
        <v>11.59</v>
      </c>
      <c r="I180" s="18" t="n">
        <v>0</v>
      </c>
      <c r="J180" s="18" t="n">
        <v>0</v>
      </c>
      <c r="K180" s="19" t="n">
        <v>0</v>
      </c>
      <c r="L180" s="26" t="n">
        <v>100201.26</v>
      </c>
      <c r="M180" s="26" t="n">
        <v>114294.01</v>
      </c>
    </row>
    <row r="181" customFormat="false" ht="15" hidden="false" customHeight="false" outlineLevel="0" collapsed="false">
      <c r="A181" s="14" t="s">
        <v>66</v>
      </c>
      <c r="B181" s="14" t="s">
        <v>67</v>
      </c>
      <c r="C181" s="14" t="s">
        <v>134</v>
      </c>
      <c r="D181" s="14" t="s">
        <v>135</v>
      </c>
      <c r="E181" s="14" t="s">
        <v>78</v>
      </c>
      <c r="F181" s="15" t="n">
        <v>23.18</v>
      </c>
      <c r="G181" s="15" t="n">
        <v>23.18</v>
      </c>
      <c r="H181" s="15" t="n">
        <v>0</v>
      </c>
      <c r="I181" s="15" t="n">
        <v>0</v>
      </c>
      <c r="J181" s="15" t="n">
        <v>0</v>
      </c>
      <c r="K181" s="16" t="n">
        <v>0</v>
      </c>
      <c r="L181" s="24" t="n">
        <v>28901.44</v>
      </c>
      <c r="M181" s="24" t="n">
        <v>33110.07</v>
      </c>
    </row>
    <row r="182" customFormat="false" ht="15" hidden="false" customHeight="false" outlineLevel="0" collapsed="false">
      <c r="A182" s="17" t="s">
        <v>66</v>
      </c>
      <c r="B182" s="17" t="s">
        <v>67</v>
      </c>
      <c r="C182" s="17" t="s">
        <v>96</v>
      </c>
      <c r="D182" s="17" t="s">
        <v>97</v>
      </c>
      <c r="E182" s="17" t="s">
        <v>78</v>
      </c>
      <c r="F182" s="18" t="n">
        <v>5.47</v>
      </c>
      <c r="G182" s="18" t="n">
        <v>5.47</v>
      </c>
      <c r="H182" s="18" t="n">
        <v>0</v>
      </c>
      <c r="I182" s="18" t="n">
        <v>0</v>
      </c>
      <c r="J182" s="18" t="n">
        <v>0</v>
      </c>
      <c r="K182" s="19" t="n">
        <v>0</v>
      </c>
      <c r="L182" s="26" t="n">
        <v>7906.21</v>
      </c>
      <c r="M182" s="26" t="n">
        <v>8906.3</v>
      </c>
    </row>
    <row r="183" customFormat="false" ht="15" hidden="false" customHeight="false" outlineLevel="0" collapsed="false">
      <c r="A183" s="40" t="s">
        <v>66</v>
      </c>
      <c r="B183" s="40" t="s">
        <v>67</v>
      </c>
      <c r="C183" s="40" t="s">
        <v>98</v>
      </c>
      <c r="D183" s="40" t="s">
        <v>99</v>
      </c>
      <c r="E183" s="40" t="s">
        <v>78</v>
      </c>
      <c r="F183" s="41" t="n">
        <v>117.85</v>
      </c>
      <c r="G183" s="41" t="n">
        <v>41.49</v>
      </c>
      <c r="H183" s="41" t="n">
        <v>57.36</v>
      </c>
      <c r="I183" s="41" t="n">
        <v>19</v>
      </c>
      <c r="J183" s="41" t="n">
        <v>0</v>
      </c>
      <c r="K183" s="42" t="n">
        <v>0</v>
      </c>
      <c r="L183" s="43" t="n">
        <v>169726.52</v>
      </c>
      <c r="M183" s="43" t="n">
        <v>202238.51</v>
      </c>
    </row>
    <row r="184" customFormat="false" ht="15" hidden="false" customHeight="false" outlineLevel="0" collapsed="false">
      <c r="A184" s="17" t="s">
        <v>66</v>
      </c>
      <c r="B184" s="17" t="s">
        <v>67</v>
      </c>
      <c r="C184" s="17" t="s">
        <v>136</v>
      </c>
      <c r="D184" s="17" t="s">
        <v>137</v>
      </c>
      <c r="E184" s="17" t="s">
        <v>79</v>
      </c>
      <c r="F184" s="18" t="n">
        <v>31.93</v>
      </c>
      <c r="G184" s="18" t="n">
        <v>31.93</v>
      </c>
      <c r="H184" s="18" t="n">
        <v>0</v>
      </c>
      <c r="I184" s="18" t="n">
        <v>0</v>
      </c>
      <c r="J184" s="18" t="n">
        <v>0</v>
      </c>
      <c r="K184" s="19" t="n">
        <v>0</v>
      </c>
      <c r="L184" s="26" t="n">
        <v>170017.56</v>
      </c>
      <c r="M184" s="26" t="n">
        <v>184644.69</v>
      </c>
    </row>
    <row r="185" customFormat="false" ht="15" hidden="false" customHeight="false" outlineLevel="0" collapsed="false">
      <c r="A185" s="14" t="s">
        <v>66</v>
      </c>
      <c r="B185" s="14" t="s">
        <v>67</v>
      </c>
      <c r="C185" s="14" t="s">
        <v>164</v>
      </c>
      <c r="D185" s="14" t="s">
        <v>165</v>
      </c>
      <c r="E185" s="14" t="s">
        <v>79</v>
      </c>
      <c r="F185" s="15" t="n">
        <v>0</v>
      </c>
      <c r="G185" s="15" t="n">
        <v>0</v>
      </c>
      <c r="H185" s="15" t="n">
        <v>0</v>
      </c>
      <c r="I185" s="15" t="n">
        <v>0</v>
      </c>
      <c r="J185" s="15" t="n">
        <v>0</v>
      </c>
      <c r="K185" s="16" t="n">
        <v>0</v>
      </c>
      <c r="L185" s="24" t="n">
        <v>0</v>
      </c>
      <c r="M185" s="24" t="n">
        <v>0</v>
      </c>
    </row>
    <row r="186" customFormat="false" ht="15" hidden="false" customHeight="false" outlineLevel="0" collapsed="false">
      <c r="A186" s="17" t="s">
        <v>66</v>
      </c>
      <c r="B186" s="17" t="s">
        <v>67</v>
      </c>
      <c r="C186" s="17" t="s">
        <v>138</v>
      </c>
      <c r="D186" s="17" t="s">
        <v>139</v>
      </c>
      <c r="E186" s="17" t="s">
        <v>79</v>
      </c>
      <c r="F186" s="18" t="n">
        <v>8.75</v>
      </c>
      <c r="G186" s="18" t="n">
        <v>8.75</v>
      </c>
      <c r="H186" s="18" t="n">
        <v>0</v>
      </c>
      <c r="I186" s="18" t="n">
        <v>0</v>
      </c>
      <c r="J186" s="18" t="n">
        <v>0</v>
      </c>
      <c r="K186" s="19" t="n">
        <v>0</v>
      </c>
      <c r="L186" s="26" t="n">
        <v>34797.84</v>
      </c>
      <c r="M186" s="26" t="n">
        <v>39603.13</v>
      </c>
    </row>
    <row r="187" customFormat="false" ht="15" hidden="false" customHeight="false" outlineLevel="0" collapsed="false">
      <c r="A187" s="14" t="s">
        <v>66</v>
      </c>
      <c r="B187" s="14" t="s">
        <v>67</v>
      </c>
      <c r="C187" s="14" t="s">
        <v>142</v>
      </c>
      <c r="D187" s="14" t="s">
        <v>143</v>
      </c>
      <c r="E187" s="14" t="s">
        <v>79</v>
      </c>
      <c r="F187" s="15" t="n">
        <v>16.76</v>
      </c>
      <c r="G187" s="15" t="n">
        <v>16.76</v>
      </c>
      <c r="H187" s="15" t="n">
        <v>0</v>
      </c>
      <c r="I187" s="15" t="n">
        <v>0</v>
      </c>
      <c r="J187" s="15" t="n">
        <v>0</v>
      </c>
      <c r="K187" s="16" t="n">
        <v>0</v>
      </c>
      <c r="L187" s="24" t="n">
        <v>83989.92</v>
      </c>
      <c r="M187" s="24" t="n">
        <v>92555.67</v>
      </c>
    </row>
    <row r="188" customFormat="false" ht="15" hidden="false" customHeight="false" outlineLevel="0" collapsed="false">
      <c r="A188" s="17" t="s">
        <v>66</v>
      </c>
      <c r="B188" s="17" t="s">
        <v>67</v>
      </c>
      <c r="C188" s="17" t="s">
        <v>144</v>
      </c>
      <c r="D188" s="17" t="s">
        <v>145</v>
      </c>
      <c r="E188" s="17" t="s">
        <v>77</v>
      </c>
      <c r="F188" s="18" t="n">
        <v>28.84</v>
      </c>
      <c r="G188" s="18" t="n">
        <v>28.84</v>
      </c>
      <c r="H188" s="18" t="n">
        <v>0</v>
      </c>
      <c r="I188" s="18" t="n">
        <v>0</v>
      </c>
      <c r="J188" s="18" t="n">
        <v>0</v>
      </c>
      <c r="K188" s="19" t="n">
        <v>0</v>
      </c>
      <c r="L188" s="26" t="n">
        <v>234693.78</v>
      </c>
      <c r="M188" s="26" t="n">
        <v>246944.63</v>
      </c>
    </row>
    <row r="189" customFormat="false" ht="15" hidden="false" customHeight="false" outlineLevel="0" collapsed="false">
      <c r="A189" s="14" t="s">
        <v>66</v>
      </c>
      <c r="B189" s="14" t="s">
        <v>67</v>
      </c>
      <c r="C189" s="14" t="s">
        <v>104</v>
      </c>
      <c r="D189" s="14" t="s">
        <v>105</v>
      </c>
      <c r="E189" s="14" t="s">
        <v>77</v>
      </c>
      <c r="F189" s="15" t="n">
        <v>44.84</v>
      </c>
      <c r="G189" s="15" t="n">
        <v>44.84</v>
      </c>
      <c r="H189" s="15" t="n">
        <v>0</v>
      </c>
      <c r="I189" s="15" t="n">
        <v>0</v>
      </c>
      <c r="J189" s="15" t="n">
        <v>0</v>
      </c>
      <c r="K189" s="16" t="n">
        <v>0</v>
      </c>
      <c r="L189" s="24" t="n">
        <v>182166.86</v>
      </c>
      <c r="M189" s="24" t="n">
        <v>187258.76</v>
      </c>
    </row>
    <row r="190" customFormat="false" ht="15" hidden="false" customHeight="false" outlineLevel="0" collapsed="false">
      <c r="A190" s="17" t="s">
        <v>66</v>
      </c>
      <c r="B190" s="17" t="s">
        <v>67</v>
      </c>
      <c r="C190" s="17" t="s">
        <v>106</v>
      </c>
      <c r="D190" s="17" t="s">
        <v>107</v>
      </c>
      <c r="E190" s="17" t="s">
        <v>77</v>
      </c>
      <c r="F190" s="18" t="n">
        <v>4.02</v>
      </c>
      <c r="G190" s="18" t="n">
        <v>4.02</v>
      </c>
      <c r="H190" s="18" t="n">
        <v>0</v>
      </c>
      <c r="I190" s="18" t="n">
        <v>0</v>
      </c>
      <c r="J190" s="18" t="n">
        <v>0</v>
      </c>
      <c r="K190" s="19" t="n">
        <v>0</v>
      </c>
      <c r="L190" s="26" t="n">
        <v>28692.07</v>
      </c>
      <c r="M190" s="26" t="n">
        <v>29885.06</v>
      </c>
    </row>
    <row r="191" customFormat="false" ht="15" hidden="false" customHeight="false" outlineLevel="0" collapsed="false">
      <c r="A191" s="40" t="s">
        <v>66</v>
      </c>
      <c r="B191" s="40" t="s">
        <v>67</v>
      </c>
      <c r="C191" s="40" t="s">
        <v>108</v>
      </c>
      <c r="D191" s="40" t="s">
        <v>109</v>
      </c>
      <c r="E191" s="40" t="s">
        <v>77</v>
      </c>
      <c r="F191" s="41" t="n">
        <v>75.11</v>
      </c>
      <c r="G191" s="41" t="n">
        <v>30.66</v>
      </c>
      <c r="H191" s="41" t="n">
        <v>28.34</v>
      </c>
      <c r="I191" s="41" t="n">
        <v>16.11</v>
      </c>
      <c r="J191" s="41" t="n">
        <v>0</v>
      </c>
      <c r="K191" s="42" t="n">
        <v>0</v>
      </c>
      <c r="L191" s="43" t="n">
        <v>220748.52</v>
      </c>
      <c r="M191" s="43" t="n">
        <v>243676.59</v>
      </c>
    </row>
    <row r="192" customFormat="false" ht="15" hidden="false" customHeight="false" outlineLevel="0" collapsed="false">
      <c r="A192" s="17" t="s">
        <v>66</v>
      </c>
      <c r="B192" s="17" t="s">
        <v>67</v>
      </c>
      <c r="C192" s="17" t="s">
        <v>110</v>
      </c>
      <c r="D192" s="17" t="s">
        <v>111</v>
      </c>
      <c r="E192" s="17" t="s">
        <v>77</v>
      </c>
      <c r="F192" s="18" t="n">
        <v>19.11</v>
      </c>
      <c r="G192" s="18" t="n">
        <v>19.11</v>
      </c>
      <c r="H192" s="18" t="n">
        <v>0</v>
      </c>
      <c r="I192" s="18" t="n">
        <v>0</v>
      </c>
      <c r="J192" s="18" t="n">
        <v>0</v>
      </c>
      <c r="K192" s="19" t="n">
        <v>0</v>
      </c>
      <c r="L192" s="26" t="n">
        <v>42404.01</v>
      </c>
      <c r="M192" s="26" t="n">
        <v>44321.06</v>
      </c>
    </row>
    <row r="193" customFormat="false" ht="15" hidden="false" customHeight="false" outlineLevel="0" collapsed="false">
      <c r="A193" s="14" t="s">
        <v>66</v>
      </c>
      <c r="B193" s="14" t="s">
        <v>67</v>
      </c>
      <c r="C193" s="14" t="s">
        <v>112</v>
      </c>
      <c r="D193" s="14" t="s">
        <v>113</v>
      </c>
      <c r="E193" s="14" t="s">
        <v>81</v>
      </c>
      <c r="F193" s="15" t="n">
        <v>344.44</v>
      </c>
      <c r="G193" s="15" t="n">
        <v>344.44</v>
      </c>
      <c r="H193" s="15" t="n">
        <v>0</v>
      </c>
      <c r="I193" s="15" t="n">
        <v>0</v>
      </c>
      <c r="J193" s="15" t="n">
        <v>0</v>
      </c>
      <c r="K193" s="16" t="n">
        <v>0</v>
      </c>
      <c r="L193" s="24" t="n">
        <v>101167.2</v>
      </c>
      <c r="M193" s="24" t="n">
        <v>125983.6</v>
      </c>
    </row>
    <row r="194" customFormat="false" ht="15" hidden="false" customHeight="false" outlineLevel="0" collapsed="false">
      <c r="A194" s="17" t="s">
        <v>66</v>
      </c>
      <c r="B194" s="17" t="s">
        <v>67</v>
      </c>
      <c r="C194" s="17" t="s">
        <v>148</v>
      </c>
      <c r="D194" s="17" t="s">
        <v>149</v>
      </c>
      <c r="E194" s="17" t="s">
        <v>81</v>
      </c>
      <c r="F194" s="18" t="n">
        <v>485.78</v>
      </c>
      <c r="G194" s="18" t="n">
        <v>485.78</v>
      </c>
      <c r="H194" s="18" t="n">
        <v>0</v>
      </c>
      <c r="I194" s="18" t="n">
        <v>0</v>
      </c>
      <c r="J194" s="18" t="n">
        <v>0</v>
      </c>
      <c r="K194" s="19" t="n">
        <v>0</v>
      </c>
      <c r="L194" s="26" t="n">
        <v>144799.69</v>
      </c>
      <c r="M194" s="26" t="n">
        <v>171613.52</v>
      </c>
    </row>
    <row r="195" customFormat="false" ht="15" hidden="false" customHeight="false" outlineLevel="0" collapsed="false">
      <c r="A195" s="14" t="s">
        <v>66</v>
      </c>
      <c r="B195" s="14" t="s">
        <v>67</v>
      </c>
      <c r="C195" s="14" t="s">
        <v>114</v>
      </c>
      <c r="D195" s="14" t="s">
        <v>115</v>
      </c>
      <c r="E195" s="14" t="s">
        <v>81</v>
      </c>
      <c r="F195" s="15" t="n">
        <v>717.65</v>
      </c>
      <c r="G195" s="15" t="n">
        <v>717.65</v>
      </c>
      <c r="H195" s="15" t="n">
        <v>0</v>
      </c>
      <c r="I195" s="15" t="n">
        <v>0</v>
      </c>
      <c r="J195" s="15" t="n">
        <v>0</v>
      </c>
      <c r="K195" s="16" t="n">
        <v>0</v>
      </c>
      <c r="L195" s="24" t="n">
        <v>213918.6</v>
      </c>
      <c r="M195" s="24" t="n">
        <v>268684.12</v>
      </c>
    </row>
    <row r="196" customFormat="false" ht="15" hidden="false" customHeight="false" outlineLevel="0" collapsed="false">
      <c r="A196" s="17" t="s">
        <v>66</v>
      </c>
      <c r="B196" s="17" t="s">
        <v>67</v>
      </c>
      <c r="C196" s="17" t="s">
        <v>116</v>
      </c>
      <c r="D196" s="17" t="s">
        <v>117</v>
      </c>
      <c r="E196" s="17" t="s">
        <v>81</v>
      </c>
      <c r="F196" s="18" t="n">
        <v>93.28</v>
      </c>
      <c r="G196" s="18" t="n">
        <v>93.28</v>
      </c>
      <c r="H196" s="18" t="n">
        <v>0</v>
      </c>
      <c r="I196" s="18" t="n">
        <v>0</v>
      </c>
      <c r="J196" s="18" t="n">
        <v>0</v>
      </c>
      <c r="K196" s="19" t="n">
        <v>0</v>
      </c>
      <c r="L196" s="26" t="n">
        <v>36637.23</v>
      </c>
      <c r="M196" s="26" t="n">
        <v>42462.08</v>
      </c>
    </row>
    <row r="197" customFormat="false" ht="15" hidden="false" customHeight="false" outlineLevel="0" collapsed="false">
      <c r="A197" s="14" t="s">
        <v>66</v>
      </c>
      <c r="B197" s="14" t="s">
        <v>67</v>
      </c>
      <c r="C197" s="14" t="s">
        <v>154</v>
      </c>
      <c r="D197" s="14" t="s">
        <v>155</v>
      </c>
      <c r="E197" s="14" t="s">
        <v>81</v>
      </c>
      <c r="F197" s="15" t="n">
        <v>98.97</v>
      </c>
      <c r="G197" s="15" t="n">
        <v>98.97</v>
      </c>
      <c r="H197" s="15" t="n">
        <v>0</v>
      </c>
      <c r="I197" s="15" t="n">
        <v>0</v>
      </c>
      <c r="J197" s="15" t="n">
        <v>0</v>
      </c>
      <c r="K197" s="16" t="n">
        <v>0</v>
      </c>
      <c r="L197" s="24" t="n">
        <v>20498.72</v>
      </c>
      <c r="M197" s="24" t="n">
        <v>25370.28</v>
      </c>
    </row>
    <row r="198" customFormat="false" ht="15" hidden="false" customHeight="false" outlineLevel="0" collapsed="false">
      <c r="A198" s="17" t="s">
        <v>66</v>
      </c>
      <c r="B198" s="17" t="s">
        <v>67</v>
      </c>
      <c r="C198" s="17" t="s">
        <v>118</v>
      </c>
      <c r="D198" s="17" t="s">
        <v>119</v>
      </c>
      <c r="E198" s="17" t="s">
        <v>81</v>
      </c>
      <c r="F198" s="18" t="n">
        <v>63.35</v>
      </c>
      <c r="G198" s="18" t="n">
        <v>63.35</v>
      </c>
      <c r="H198" s="18" t="n">
        <v>0</v>
      </c>
      <c r="I198" s="18" t="n">
        <v>0</v>
      </c>
      <c r="J198" s="18" t="n">
        <v>0</v>
      </c>
      <c r="K198" s="19" t="n">
        <v>0</v>
      </c>
      <c r="L198" s="26" t="n">
        <v>20842.44</v>
      </c>
      <c r="M198" s="26" t="n">
        <v>24930.15</v>
      </c>
    </row>
    <row r="199" customFormat="false" ht="15" hidden="false" customHeight="false" outlineLevel="0" collapsed="false">
      <c r="A199" s="14" t="s">
        <v>66</v>
      </c>
      <c r="B199" s="14" t="s">
        <v>67</v>
      </c>
      <c r="C199" s="14" t="s">
        <v>120</v>
      </c>
      <c r="D199" s="14" t="s">
        <v>121</v>
      </c>
      <c r="E199" s="14" t="s">
        <v>80</v>
      </c>
      <c r="F199" s="15" t="n">
        <v>75.28</v>
      </c>
      <c r="G199" s="15" t="n">
        <v>70.8</v>
      </c>
      <c r="H199" s="15" t="n">
        <v>4.48</v>
      </c>
      <c r="I199" s="15" t="n">
        <v>0</v>
      </c>
      <c r="J199" s="15" t="n">
        <v>0</v>
      </c>
      <c r="K199" s="16" t="n">
        <v>0</v>
      </c>
      <c r="L199" s="24" t="n">
        <v>83669.77</v>
      </c>
      <c r="M199" s="24" t="n">
        <v>100201.33</v>
      </c>
    </row>
    <row r="200" customFormat="false" ht="15" hidden="false" customHeight="false" outlineLevel="0" collapsed="false">
      <c r="A200" s="17" t="s">
        <v>66</v>
      </c>
      <c r="B200" s="17" t="s">
        <v>67</v>
      </c>
      <c r="C200" s="17" t="s">
        <v>124</v>
      </c>
      <c r="D200" s="17" t="s">
        <v>125</v>
      </c>
      <c r="E200" s="17" t="s">
        <v>80</v>
      </c>
      <c r="F200" s="18" t="n">
        <v>7.28</v>
      </c>
      <c r="G200" s="18" t="n">
        <v>7.28</v>
      </c>
      <c r="H200" s="18" t="n">
        <v>0</v>
      </c>
      <c r="I200" s="18" t="n">
        <v>0</v>
      </c>
      <c r="J200" s="18" t="n">
        <v>0</v>
      </c>
      <c r="K200" s="19" t="n">
        <v>0</v>
      </c>
      <c r="L200" s="26" t="n">
        <v>11190.13</v>
      </c>
      <c r="M200" s="26" t="n">
        <v>12976.86</v>
      </c>
    </row>
    <row r="201" customFormat="false" ht="15" hidden="false" customHeight="false" outlineLevel="0" collapsed="false">
      <c r="A201" s="36" t="s">
        <v>66</v>
      </c>
      <c r="B201" s="36" t="s">
        <v>67</v>
      </c>
      <c r="C201" s="36" t="s">
        <v>128</v>
      </c>
      <c r="D201" s="36" t="s">
        <v>129</v>
      </c>
      <c r="E201" s="36" t="s">
        <v>80</v>
      </c>
      <c r="F201" s="37" t="n">
        <v>163.28</v>
      </c>
      <c r="G201" s="37" t="n">
        <v>63.07</v>
      </c>
      <c r="H201" s="37" t="n">
        <v>30.38</v>
      </c>
      <c r="I201" s="37" t="n">
        <v>35.58</v>
      </c>
      <c r="J201" s="37" t="n">
        <v>34.25</v>
      </c>
      <c r="K201" s="38" t="n">
        <v>0.209762371386575</v>
      </c>
      <c r="L201" s="39" t="n">
        <v>62384.22</v>
      </c>
      <c r="M201" s="39" t="n">
        <v>75779.88</v>
      </c>
    </row>
    <row r="202" customFormat="false" ht="15" hidden="false" customHeight="false" outlineLevel="0" collapsed="false">
      <c r="A202" s="17" t="s">
        <v>66</v>
      </c>
      <c r="B202" s="17" t="s">
        <v>67</v>
      </c>
      <c r="C202" s="17" t="s">
        <v>156</v>
      </c>
      <c r="D202" s="17" t="s">
        <v>157</v>
      </c>
      <c r="E202" s="17" t="s">
        <v>80</v>
      </c>
      <c r="F202" s="18" t="n">
        <v>36.71</v>
      </c>
      <c r="G202" s="18" t="n">
        <v>36.71</v>
      </c>
      <c r="H202" s="18" t="n">
        <v>0</v>
      </c>
      <c r="I202" s="18" t="n">
        <v>0</v>
      </c>
      <c r="J202" s="18" t="n">
        <v>0</v>
      </c>
      <c r="K202" s="19" t="n">
        <v>0</v>
      </c>
      <c r="L202" s="26" t="n">
        <v>39626.45</v>
      </c>
      <c r="M202" s="26" t="n">
        <v>46466.18</v>
      </c>
    </row>
    <row r="203" customFormat="false" ht="15" hidden="false" customHeight="false" outlineLevel="0" collapsed="false">
      <c r="A203" s="14" t="s">
        <v>66</v>
      </c>
      <c r="B203" s="14" t="s">
        <v>67</v>
      </c>
      <c r="C203" s="14" t="s">
        <v>158</v>
      </c>
      <c r="D203" s="14" t="s">
        <v>159</v>
      </c>
      <c r="E203" s="14" t="s">
        <v>80</v>
      </c>
      <c r="F203" s="15" t="n">
        <v>20.5</v>
      </c>
      <c r="G203" s="15" t="n">
        <v>20.5</v>
      </c>
      <c r="H203" s="15" t="n">
        <v>0</v>
      </c>
      <c r="I203" s="15" t="n">
        <v>0</v>
      </c>
      <c r="J203" s="15" t="n">
        <v>0</v>
      </c>
      <c r="K203" s="16" t="n">
        <v>0</v>
      </c>
      <c r="L203" s="24" t="n">
        <v>15031.75</v>
      </c>
      <c r="M203" s="24" t="n">
        <v>16295.18</v>
      </c>
    </row>
    <row r="204" customFormat="false" ht="15" hidden="false" customHeight="false" outlineLevel="0" collapsed="false">
      <c r="A204" s="17" t="s">
        <v>66</v>
      </c>
      <c r="B204" s="17" t="s">
        <v>67</v>
      </c>
      <c r="C204" s="17" t="s">
        <v>130</v>
      </c>
      <c r="D204" s="17" t="s">
        <v>131</v>
      </c>
      <c r="E204" s="17" t="s">
        <v>80</v>
      </c>
      <c r="F204" s="18" t="n">
        <v>23.25</v>
      </c>
      <c r="G204" s="18" t="n">
        <v>22.5</v>
      </c>
      <c r="H204" s="18" t="n">
        <v>0.75</v>
      </c>
      <c r="I204" s="18" t="n">
        <v>0</v>
      </c>
      <c r="J204" s="18" t="n">
        <v>0</v>
      </c>
      <c r="K204" s="19" t="n">
        <v>0</v>
      </c>
      <c r="L204" s="26" t="n">
        <v>15116.59</v>
      </c>
      <c r="M204" s="26" t="n">
        <v>16960.72</v>
      </c>
    </row>
    <row r="205" customFormat="false" ht="15" hidden="false" customHeight="false" outlineLevel="0" collapsed="false">
      <c r="A205" s="14" t="s">
        <v>68</v>
      </c>
      <c r="B205" s="14" t="s">
        <v>69</v>
      </c>
      <c r="C205" s="14" t="s">
        <v>86</v>
      </c>
      <c r="D205" s="14" t="s">
        <v>87</v>
      </c>
      <c r="E205" s="14" t="s">
        <v>78</v>
      </c>
      <c r="F205" s="15" t="n">
        <v>108.78</v>
      </c>
      <c r="G205" s="15" t="n">
        <v>108.78</v>
      </c>
      <c r="H205" s="15" t="n">
        <v>0</v>
      </c>
      <c r="I205" s="15" t="n">
        <v>0</v>
      </c>
      <c r="J205" s="15" t="n">
        <v>0</v>
      </c>
      <c r="K205" s="16" t="n">
        <v>0</v>
      </c>
      <c r="L205" s="24" t="n">
        <v>191130.91</v>
      </c>
      <c r="M205" s="24" t="n">
        <v>212876.28</v>
      </c>
    </row>
    <row r="206" customFormat="false" ht="15" hidden="false" customHeight="false" outlineLevel="0" collapsed="false">
      <c r="A206" s="17" t="s">
        <v>68</v>
      </c>
      <c r="B206" s="17" t="s">
        <v>69</v>
      </c>
      <c r="C206" s="17" t="s">
        <v>88</v>
      </c>
      <c r="D206" s="17" t="s">
        <v>89</v>
      </c>
      <c r="E206" s="17" t="s">
        <v>78</v>
      </c>
      <c r="F206" s="18" t="n">
        <v>52.4</v>
      </c>
      <c r="G206" s="18" t="n">
        <v>52.4</v>
      </c>
      <c r="H206" s="18" t="n">
        <v>0</v>
      </c>
      <c r="I206" s="18" t="n">
        <v>0</v>
      </c>
      <c r="J206" s="18" t="n">
        <v>0</v>
      </c>
      <c r="K206" s="19" t="n">
        <v>0</v>
      </c>
      <c r="L206" s="26" t="n">
        <v>88524.61</v>
      </c>
      <c r="M206" s="26" t="n">
        <v>99959.54</v>
      </c>
    </row>
    <row r="207" customFormat="false" ht="15" hidden="false" customHeight="false" outlineLevel="0" collapsed="false">
      <c r="A207" s="14" t="s">
        <v>68</v>
      </c>
      <c r="B207" s="14" t="s">
        <v>69</v>
      </c>
      <c r="C207" s="14" t="s">
        <v>90</v>
      </c>
      <c r="D207" s="14" t="s">
        <v>91</v>
      </c>
      <c r="E207" s="14" t="s">
        <v>78</v>
      </c>
      <c r="F207" s="15" t="n">
        <v>53.89</v>
      </c>
      <c r="G207" s="15" t="n">
        <v>53.89</v>
      </c>
      <c r="H207" s="15" t="n">
        <v>0</v>
      </c>
      <c r="I207" s="15" t="n">
        <v>0</v>
      </c>
      <c r="J207" s="15" t="n">
        <v>0</v>
      </c>
      <c r="K207" s="16" t="n">
        <v>0</v>
      </c>
      <c r="L207" s="24" t="n">
        <v>86793.14</v>
      </c>
      <c r="M207" s="24" t="n">
        <v>100500.62</v>
      </c>
    </row>
    <row r="208" customFormat="false" ht="15" hidden="false" customHeight="false" outlineLevel="0" collapsed="false">
      <c r="A208" s="17" t="s">
        <v>68</v>
      </c>
      <c r="B208" s="17" t="s">
        <v>69</v>
      </c>
      <c r="C208" s="17" t="s">
        <v>92</v>
      </c>
      <c r="D208" s="17" t="s">
        <v>93</v>
      </c>
      <c r="E208" s="17" t="s">
        <v>78</v>
      </c>
      <c r="F208" s="18" t="n">
        <v>53.54</v>
      </c>
      <c r="G208" s="18" t="n">
        <v>53.54</v>
      </c>
      <c r="H208" s="18" t="n">
        <v>0</v>
      </c>
      <c r="I208" s="18" t="n">
        <v>0</v>
      </c>
      <c r="J208" s="18" t="n">
        <v>0</v>
      </c>
      <c r="K208" s="19" t="n">
        <v>0</v>
      </c>
      <c r="L208" s="26" t="n">
        <v>82320.39</v>
      </c>
      <c r="M208" s="26" t="n">
        <v>92259.56</v>
      </c>
    </row>
    <row r="209" customFormat="false" ht="15" hidden="false" customHeight="false" outlineLevel="0" collapsed="false">
      <c r="A209" s="14" t="s">
        <v>68</v>
      </c>
      <c r="B209" s="14" t="s">
        <v>69</v>
      </c>
      <c r="C209" s="14" t="s">
        <v>134</v>
      </c>
      <c r="D209" s="14" t="s">
        <v>135</v>
      </c>
      <c r="E209" s="14" t="s">
        <v>78</v>
      </c>
      <c r="F209" s="15" t="n">
        <v>50.73</v>
      </c>
      <c r="G209" s="15" t="n">
        <v>50.73</v>
      </c>
      <c r="H209" s="15" t="n">
        <v>0</v>
      </c>
      <c r="I209" s="15" t="n">
        <v>0</v>
      </c>
      <c r="J209" s="15" t="n">
        <v>0</v>
      </c>
      <c r="K209" s="16" t="n">
        <v>0</v>
      </c>
      <c r="L209" s="24" t="n">
        <v>62385.71</v>
      </c>
      <c r="M209" s="24" t="n">
        <v>72462.19</v>
      </c>
    </row>
    <row r="210" customFormat="false" ht="15" hidden="false" customHeight="false" outlineLevel="0" collapsed="false">
      <c r="A210" s="17" t="s">
        <v>68</v>
      </c>
      <c r="B210" s="17" t="s">
        <v>69</v>
      </c>
      <c r="C210" s="17" t="s">
        <v>96</v>
      </c>
      <c r="D210" s="17" t="s">
        <v>97</v>
      </c>
      <c r="E210" s="17" t="s">
        <v>78</v>
      </c>
      <c r="F210" s="18" t="n">
        <v>16.91</v>
      </c>
      <c r="G210" s="18" t="n">
        <v>16.91</v>
      </c>
      <c r="H210" s="18" t="n">
        <v>0</v>
      </c>
      <c r="I210" s="18" t="n">
        <v>0</v>
      </c>
      <c r="J210" s="18" t="n">
        <v>0</v>
      </c>
      <c r="K210" s="19" t="n">
        <v>0</v>
      </c>
      <c r="L210" s="26" t="n">
        <v>24638.65</v>
      </c>
      <c r="M210" s="26" t="n">
        <v>27533</v>
      </c>
    </row>
    <row r="211" customFormat="false" ht="15" hidden="false" customHeight="false" outlineLevel="0" collapsed="false">
      <c r="A211" s="40" t="s">
        <v>68</v>
      </c>
      <c r="B211" s="40" t="s">
        <v>69</v>
      </c>
      <c r="C211" s="40" t="s">
        <v>98</v>
      </c>
      <c r="D211" s="40" t="s">
        <v>99</v>
      </c>
      <c r="E211" s="40" t="s">
        <v>78</v>
      </c>
      <c r="F211" s="41" t="n">
        <v>77.67</v>
      </c>
      <c r="G211" s="41" t="n">
        <v>35.64</v>
      </c>
      <c r="H211" s="41" t="n">
        <v>19.05</v>
      </c>
      <c r="I211" s="41" t="n">
        <v>22.98</v>
      </c>
      <c r="J211" s="41" t="n">
        <v>0</v>
      </c>
      <c r="K211" s="42" t="n">
        <v>0</v>
      </c>
      <c r="L211" s="43" t="n">
        <v>111725.94</v>
      </c>
      <c r="M211" s="43" t="n">
        <v>133286.93</v>
      </c>
    </row>
    <row r="212" customFormat="false" ht="15" hidden="false" customHeight="false" outlineLevel="0" collapsed="false">
      <c r="A212" s="17" t="s">
        <v>68</v>
      </c>
      <c r="B212" s="17" t="s">
        <v>69</v>
      </c>
      <c r="C212" s="17" t="s">
        <v>160</v>
      </c>
      <c r="D212" s="17" t="s">
        <v>161</v>
      </c>
      <c r="E212" s="17" t="s">
        <v>79</v>
      </c>
      <c r="F212" s="18" t="n">
        <v>23.68</v>
      </c>
      <c r="G212" s="18" t="n">
        <v>23.68</v>
      </c>
      <c r="H212" s="18" t="n">
        <v>0</v>
      </c>
      <c r="I212" s="18" t="n">
        <v>0</v>
      </c>
      <c r="J212" s="18" t="n">
        <v>0</v>
      </c>
      <c r="K212" s="19" t="n">
        <v>0</v>
      </c>
      <c r="L212" s="26" t="n">
        <v>150833.73</v>
      </c>
      <c r="M212" s="26" t="n">
        <v>167154.66</v>
      </c>
    </row>
    <row r="213" customFormat="false" ht="15" hidden="false" customHeight="false" outlineLevel="0" collapsed="false">
      <c r="A213" s="14" t="s">
        <v>68</v>
      </c>
      <c r="B213" s="14" t="s">
        <v>69</v>
      </c>
      <c r="C213" s="14" t="s">
        <v>162</v>
      </c>
      <c r="D213" s="14" t="s">
        <v>163</v>
      </c>
      <c r="E213" s="14" t="s">
        <v>79</v>
      </c>
      <c r="F213" s="15" t="n">
        <v>19.94</v>
      </c>
      <c r="G213" s="15" t="n">
        <v>19.94</v>
      </c>
      <c r="H213" s="15" t="n">
        <v>0</v>
      </c>
      <c r="I213" s="15" t="n">
        <v>0</v>
      </c>
      <c r="J213" s="15" t="n">
        <v>0</v>
      </c>
      <c r="K213" s="16" t="n">
        <v>0</v>
      </c>
      <c r="L213" s="24" t="n">
        <v>88599.86</v>
      </c>
      <c r="M213" s="24" t="n">
        <v>101219.81</v>
      </c>
    </row>
    <row r="214" customFormat="false" ht="15" hidden="false" customHeight="false" outlineLevel="0" collapsed="false">
      <c r="A214" s="17" t="s">
        <v>68</v>
      </c>
      <c r="B214" s="17" t="s">
        <v>69</v>
      </c>
      <c r="C214" s="17" t="s">
        <v>164</v>
      </c>
      <c r="D214" s="17" t="s">
        <v>165</v>
      </c>
      <c r="E214" s="17" t="s">
        <v>79</v>
      </c>
      <c r="F214" s="18" t="n">
        <v>10.09</v>
      </c>
      <c r="G214" s="18" t="n">
        <v>10.09</v>
      </c>
      <c r="H214" s="18" t="n">
        <v>0</v>
      </c>
      <c r="I214" s="18" t="n">
        <v>0</v>
      </c>
      <c r="J214" s="18" t="n">
        <v>0</v>
      </c>
      <c r="K214" s="19" t="n">
        <v>0</v>
      </c>
      <c r="L214" s="26" t="n">
        <v>55085.8</v>
      </c>
      <c r="M214" s="26" t="n">
        <v>61347.81</v>
      </c>
    </row>
    <row r="215" customFormat="false" ht="15" hidden="false" customHeight="false" outlineLevel="0" collapsed="false">
      <c r="A215" s="14" t="s">
        <v>68</v>
      </c>
      <c r="B215" s="14" t="s">
        <v>69</v>
      </c>
      <c r="C215" s="14" t="s">
        <v>140</v>
      </c>
      <c r="D215" s="14" t="s">
        <v>141</v>
      </c>
      <c r="E215" s="14" t="s">
        <v>79</v>
      </c>
      <c r="F215" s="15" t="n">
        <v>33.6</v>
      </c>
      <c r="G215" s="15" t="n">
        <v>29.61</v>
      </c>
      <c r="H215" s="15" t="n">
        <v>3.99</v>
      </c>
      <c r="I215" s="15" t="n">
        <v>0</v>
      </c>
      <c r="J215" s="15" t="n">
        <v>0</v>
      </c>
      <c r="K215" s="16" t="n">
        <v>0</v>
      </c>
      <c r="L215" s="24" t="n">
        <v>175263.09</v>
      </c>
      <c r="M215" s="24" t="n">
        <v>194456.8</v>
      </c>
    </row>
    <row r="216" customFormat="false" ht="15" hidden="false" customHeight="false" outlineLevel="0" collapsed="false">
      <c r="A216" s="17" t="s">
        <v>68</v>
      </c>
      <c r="B216" s="17" t="s">
        <v>69</v>
      </c>
      <c r="C216" s="17" t="s">
        <v>104</v>
      </c>
      <c r="D216" s="17" t="s">
        <v>105</v>
      </c>
      <c r="E216" s="17" t="s">
        <v>77</v>
      </c>
      <c r="F216" s="18" t="n">
        <v>70.95</v>
      </c>
      <c r="G216" s="18" t="n">
        <v>70.95</v>
      </c>
      <c r="H216" s="18" t="n">
        <v>0</v>
      </c>
      <c r="I216" s="18" t="n">
        <v>0</v>
      </c>
      <c r="J216" s="18" t="n">
        <v>0</v>
      </c>
      <c r="K216" s="19" t="n">
        <v>0</v>
      </c>
      <c r="L216" s="26" t="n">
        <v>285037.85</v>
      </c>
      <c r="M216" s="26" t="n">
        <v>296298.15</v>
      </c>
    </row>
    <row r="217" customFormat="false" ht="15" hidden="false" customHeight="false" outlineLevel="0" collapsed="false">
      <c r="A217" s="40" t="s">
        <v>68</v>
      </c>
      <c r="B217" s="40" t="s">
        <v>69</v>
      </c>
      <c r="C217" s="40" t="s">
        <v>108</v>
      </c>
      <c r="D217" s="40" t="s">
        <v>109</v>
      </c>
      <c r="E217" s="40" t="s">
        <v>77</v>
      </c>
      <c r="F217" s="41" t="n">
        <v>58.86</v>
      </c>
      <c r="G217" s="41" t="n">
        <v>30.48</v>
      </c>
      <c r="H217" s="41" t="n">
        <v>11.83</v>
      </c>
      <c r="I217" s="41" t="n">
        <v>16.55</v>
      </c>
      <c r="J217" s="41" t="n">
        <v>0</v>
      </c>
      <c r="K217" s="42" t="n">
        <v>0</v>
      </c>
      <c r="L217" s="43" t="n">
        <v>173740.96</v>
      </c>
      <c r="M217" s="43" t="n">
        <v>190957.32</v>
      </c>
    </row>
    <row r="218" customFormat="false" ht="15" hidden="false" customHeight="false" outlineLevel="0" collapsed="false">
      <c r="A218" s="17" t="s">
        <v>68</v>
      </c>
      <c r="B218" s="17" t="s">
        <v>69</v>
      </c>
      <c r="C218" s="17" t="s">
        <v>110</v>
      </c>
      <c r="D218" s="17" t="s">
        <v>111</v>
      </c>
      <c r="E218" s="17" t="s">
        <v>77</v>
      </c>
      <c r="F218" s="18" t="n">
        <v>33.46</v>
      </c>
      <c r="G218" s="18" t="n">
        <v>33.46</v>
      </c>
      <c r="H218" s="18" t="n">
        <v>0</v>
      </c>
      <c r="I218" s="18" t="n">
        <v>0</v>
      </c>
      <c r="J218" s="18" t="n">
        <v>0</v>
      </c>
      <c r="K218" s="19" t="n">
        <v>0</v>
      </c>
      <c r="L218" s="26" t="n">
        <v>73418.29</v>
      </c>
      <c r="M218" s="26" t="n">
        <v>77602.44</v>
      </c>
    </row>
    <row r="219" customFormat="false" ht="15" hidden="false" customHeight="false" outlineLevel="0" collapsed="false">
      <c r="A219" s="14" t="s">
        <v>68</v>
      </c>
      <c r="B219" s="14" t="s">
        <v>69</v>
      </c>
      <c r="C219" s="14" t="s">
        <v>112</v>
      </c>
      <c r="D219" s="14" t="s">
        <v>113</v>
      </c>
      <c r="E219" s="14" t="s">
        <v>81</v>
      </c>
      <c r="F219" s="15" t="n">
        <v>838.2</v>
      </c>
      <c r="G219" s="15" t="n">
        <v>838.2</v>
      </c>
      <c r="H219" s="15" t="n">
        <v>0</v>
      </c>
      <c r="I219" s="15" t="n">
        <v>0</v>
      </c>
      <c r="J219" s="15" t="n">
        <v>0</v>
      </c>
      <c r="K219" s="16" t="n">
        <v>0</v>
      </c>
      <c r="L219" s="24" t="n">
        <v>246594.74</v>
      </c>
      <c r="M219" s="24" t="n">
        <v>306583</v>
      </c>
    </row>
    <row r="220" customFormat="false" ht="15" hidden="false" customHeight="false" outlineLevel="0" collapsed="false">
      <c r="A220" s="17" t="s">
        <v>68</v>
      </c>
      <c r="B220" s="17" t="s">
        <v>69</v>
      </c>
      <c r="C220" s="17" t="s">
        <v>146</v>
      </c>
      <c r="D220" s="17" t="s">
        <v>147</v>
      </c>
      <c r="E220" s="17" t="s">
        <v>81</v>
      </c>
      <c r="F220" s="18" t="n">
        <v>321.8</v>
      </c>
      <c r="G220" s="18" t="n">
        <v>321.8</v>
      </c>
      <c r="H220" s="18" t="n">
        <v>0</v>
      </c>
      <c r="I220" s="18" t="n">
        <v>0</v>
      </c>
      <c r="J220" s="18" t="n">
        <v>0</v>
      </c>
      <c r="K220" s="19" t="n">
        <v>0</v>
      </c>
      <c r="L220" s="26" t="n">
        <v>89006.37</v>
      </c>
      <c r="M220" s="26" t="n">
        <v>105661.85</v>
      </c>
    </row>
    <row r="221" customFormat="false" ht="15" hidden="false" customHeight="false" outlineLevel="0" collapsed="false">
      <c r="A221" s="14" t="s">
        <v>68</v>
      </c>
      <c r="B221" s="14" t="s">
        <v>69</v>
      </c>
      <c r="C221" s="14" t="s">
        <v>148</v>
      </c>
      <c r="D221" s="14" t="s">
        <v>149</v>
      </c>
      <c r="E221" s="14" t="s">
        <v>81</v>
      </c>
      <c r="F221" s="15" t="n">
        <v>404.25</v>
      </c>
      <c r="G221" s="15" t="n">
        <v>404.25</v>
      </c>
      <c r="H221" s="15" t="n">
        <v>0</v>
      </c>
      <c r="I221" s="15" t="n">
        <v>0</v>
      </c>
      <c r="J221" s="15" t="n">
        <v>0</v>
      </c>
      <c r="K221" s="16" t="n">
        <v>0</v>
      </c>
      <c r="L221" s="24" t="n">
        <v>122398.26</v>
      </c>
      <c r="M221" s="24" t="n">
        <v>142811.08</v>
      </c>
    </row>
    <row r="222" customFormat="false" ht="15" hidden="false" customHeight="false" outlineLevel="0" collapsed="false">
      <c r="A222" s="17" t="s">
        <v>68</v>
      </c>
      <c r="B222" s="17" t="s">
        <v>69</v>
      </c>
      <c r="C222" s="17" t="s">
        <v>114</v>
      </c>
      <c r="D222" s="17" t="s">
        <v>115</v>
      </c>
      <c r="E222" s="17" t="s">
        <v>81</v>
      </c>
      <c r="F222" s="18" t="n">
        <v>743.88</v>
      </c>
      <c r="G222" s="18" t="n">
        <v>743.88</v>
      </c>
      <c r="H222" s="18" t="n">
        <v>0</v>
      </c>
      <c r="I222" s="18" t="n">
        <v>0</v>
      </c>
      <c r="J222" s="18" t="n">
        <v>0</v>
      </c>
      <c r="K222" s="19" t="n">
        <v>0</v>
      </c>
      <c r="L222" s="26" t="n">
        <v>221703.41</v>
      </c>
      <c r="M222" s="26" t="n">
        <v>278504.49</v>
      </c>
    </row>
    <row r="223" customFormat="false" ht="15" hidden="false" customHeight="false" outlineLevel="0" collapsed="false">
      <c r="A223" s="14" t="s">
        <v>68</v>
      </c>
      <c r="B223" s="14" t="s">
        <v>69</v>
      </c>
      <c r="C223" s="14" t="s">
        <v>150</v>
      </c>
      <c r="D223" s="14" t="s">
        <v>151</v>
      </c>
      <c r="E223" s="14" t="s">
        <v>81</v>
      </c>
      <c r="F223" s="15" t="n">
        <v>121.7</v>
      </c>
      <c r="G223" s="15" t="n">
        <v>121.7</v>
      </c>
      <c r="H223" s="15" t="n">
        <v>0</v>
      </c>
      <c r="I223" s="15" t="n">
        <v>0</v>
      </c>
      <c r="J223" s="15" t="n">
        <v>0</v>
      </c>
      <c r="K223" s="16" t="n">
        <v>0</v>
      </c>
      <c r="L223" s="24" t="n">
        <v>41365.33</v>
      </c>
      <c r="M223" s="24" t="n">
        <v>49315.18</v>
      </c>
    </row>
    <row r="224" customFormat="false" ht="15" hidden="false" customHeight="false" outlineLevel="0" collapsed="false">
      <c r="A224" s="17" t="s">
        <v>68</v>
      </c>
      <c r="B224" s="17" t="s">
        <v>69</v>
      </c>
      <c r="C224" s="17" t="s">
        <v>152</v>
      </c>
      <c r="D224" s="17" t="s">
        <v>153</v>
      </c>
      <c r="E224" s="17" t="s">
        <v>81</v>
      </c>
      <c r="F224" s="18" t="n">
        <v>172.12</v>
      </c>
      <c r="G224" s="18" t="n">
        <v>172.12</v>
      </c>
      <c r="H224" s="18" t="n">
        <v>0</v>
      </c>
      <c r="I224" s="18" t="n">
        <v>0</v>
      </c>
      <c r="J224" s="18" t="n">
        <v>0</v>
      </c>
      <c r="K224" s="19" t="n">
        <v>0</v>
      </c>
      <c r="L224" s="26" t="n">
        <v>56133.17</v>
      </c>
      <c r="M224" s="26" t="n">
        <v>63932.13</v>
      </c>
    </row>
    <row r="225" customFormat="false" ht="15" hidden="false" customHeight="false" outlineLevel="0" collapsed="false">
      <c r="A225" s="14" t="s">
        <v>68</v>
      </c>
      <c r="B225" s="14" t="s">
        <v>69</v>
      </c>
      <c r="C225" s="14" t="s">
        <v>154</v>
      </c>
      <c r="D225" s="14" t="s">
        <v>155</v>
      </c>
      <c r="E225" s="14" t="s">
        <v>81</v>
      </c>
      <c r="F225" s="15" t="n">
        <v>83.74</v>
      </c>
      <c r="G225" s="15" t="n">
        <v>83.74</v>
      </c>
      <c r="H225" s="15" t="n">
        <v>0</v>
      </c>
      <c r="I225" s="15" t="n">
        <v>0</v>
      </c>
      <c r="J225" s="15" t="n">
        <v>0</v>
      </c>
      <c r="K225" s="16" t="n">
        <v>0</v>
      </c>
      <c r="L225" s="24" t="n">
        <v>17263.97</v>
      </c>
      <c r="M225" s="24" t="n">
        <v>21466.18</v>
      </c>
    </row>
    <row r="226" customFormat="false" ht="15" hidden="false" customHeight="false" outlineLevel="0" collapsed="false">
      <c r="A226" s="17" t="s">
        <v>68</v>
      </c>
      <c r="B226" s="17" t="s">
        <v>69</v>
      </c>
      <c r="C226" s="17" t="s">
        <v>118</v>
      </c>
      <c r="D226" s="17" t="s">
        <v>119</v>
      </c>
      <c r="E226" s="17" t="s">
        <v>81</v>
      </c>
      <c r="F226" s="18" t="n">
        <v>96.92</v>
      </c>
      <c r="G226" s="18" t="n">
        <v>96.92</v>
      </c>
      <c r="H226" s="18" t="n">
        <v>0</v>
      </c>
      <c r="I226" s="18" t="n">
        <v>0</v>
      </c>
      <c r="J226" s="18" t="n">
        <v>0</v>
      </c>
      <c r="K226" s="19" t="n">
        <v>0</v>
      </c>
      <c r="L226" s="26" t="n">
        <v>31587.37</v>
      </c>
      <c r="M226" s="26" t="n">
        <v>38140.96</v>
      </c>
    </row>
    <row r="227" customFormat="false" ht="15" hidden="false" customHeight="false" outlineLevel="0" collapsed="false">
      <c r="A227" s="14" t="s">
        <v>68</v>
      </c>
      <c r="B227" s="14" t="s">
        <v>69</v>
      </c>
      <c r="C227" s="14" t="s">
        <v>120</v>
      </c>
      <c r="D227" s="14" t="s">
        <v>121</v>
      </c>
      <c r="E227" s="14" t="s">
        <v>80</v>
      </c>
      <c r="F227" s="15" t="n">
        <v>117.25</v>
      </c>
      <c r="G227" s="15" t="n">
        <v>93.7</v>
      </c>
      <c r="H227" s="15" t="n">
        <v>23.55</v>
      </c>
      <c r="I227" s="15" t="n">
        <v>0</v>
      </c>
      <c r="J227" s="15" t="n">
        <v>0</v>
      </c>
      <c r="K227" s="16" t="n">
        <v>0</v>
      </c>
      <c r="L227" s="24" t="n">
        <v>128576.25</v>
      </c>
      <c r="M227" s="24" t="n">
        <v>156065.44</v>
      </c>
    </row>
    <row r="228" customFormat="false" ht="15" hidden="false" customHeight="false" outlineLevel="0" collapsed="false">
      <c r="A228" s="36" t="s">
        <v>68</v>
      </c>
      <c r="B228" s="36" t="s">
        <v>69</v>
      </c>
      <c r="C228" s="36" t="s">
        <v>124</v>
      </c>
      <c r="D228" s="36" t="s">
        <v>125</v>
      </c>
      <c r="E228" s="36" t="s">
        <v>80</v>
      </c>
      <c r="F228" s="37" t="n">
        <v>187.78</v>
      </c>
      <c r="G228" s="37" t="n">
        <v>41.61</v>
      </c>
      <c r="H228" s="37" t="n">
        <v>10.5</v>
      </c>
      <c r="I228" s="37" t="n">
        <v>54.93</v>
      </c>
      <c r="J228" s="37" t="n">
        <v>80.74</v>
      </c>
      <c r="K228" s="38" t="n">
        <v>0.429971242943871</v>
      </c>
      <c r="L228" s="39" t="n">
        <v>285013.24</v>
      </c>
      <c r="M228" s="39" t="n">
        <v>334724.6</v>
      </c>
    </row>
    <row r="229" customFormat="false" ht="15" hidden="false" customHeight="false" outlineLevel="0" collapsed="false">
      <c r="A229" s="14" t="s">
        <v>68</v>
      </c>
      <c r="B229" s="14" t="s">
        <v>69</v>
      </c>
      <c r="C229" s="14" t="s">
        <v>158</v>
      </c>
      <c r="D229" s="14" t="s">
        <v>159</v>
      </c>
      <c r="E229" s="14" t="s">
        <v>80</v>
      </c>
      <c r="F229" s="15" t="n">
        <v>38.42</v>
      </c>
      <c r="G229" s="15" t="n">
        <v>38.42</v>
      </c>
      <c r="H229" s="15" t="n">
        <v>0</v>
      </c>
      <c r="I229" s="15" t="n">
        <v>0</v>
      </c>
      <c r="J229" s="15" t="n">
        <v>0</v>
      </c>
      <c r="K229" s="16" t="n">
        <v>0</v>
      </c>
      <c r="L229" s="24" t="n">
        <v>27646.74</v>
      </c>
      <c r="M229" s="24" t="n">
        <v>30539.56</v>
      </c>
    </row>
    <row r="230" customFormat="false" ht="15" hidden="false" customHeight="false" outlineLevel="0" collapsed="false">
      <c r="A230" s="17" t="s">
        <v>68</v>
      </c>
      <c r="B230" s="17" t="s">
        <v>69</v>
      </c>
      <c r="C230" s="17" t="s">
        <v>130</v>
      </c>
      <c r="D230" s="17" t="s">
        <v>131</v>
      </c>
      <c r="E230" s="17" t="s">
        <v>80</v>
      </c>
      <c r="F230" s="18" t="n">
        <v>35.47</v>
      </c>
      <c r="G230" s="18" t="n">
        <v>35.47</v>
      </c>
      <c r="H230" s="18" t="n">
        <v>0</v>
      </c>
      <c r="I230" s="18" t="n">
        <v>0</v>
      </c>
      <c r="J230" s="18" t="n">
        <v>0</v>
      </c>
      <c r="K230" s="19" t="n">
        <v>0</v>
      </c>
      <c r="L230" s="26" t="n">
        <v>23018.47</v>
      </c>
      <c r="M230" s="26" t="n">
        <v>25875.13</v>
      </c>
    </row>
    <row r="231" customFormat="false" ht="15" hidden="false" customHeight="false" outlineLevel="0" collapsed="false">
      <c r="A231" s="14" t="s">
        <v>70</v>
      </c>
      <c r="B231" s="14" t="s">
        <v>71</v>
      </c>
      <c r="C231" s="14" t="s">
        <v>86</v>
      </c>
      <c r="D231" s="14" t="s">
        <v>87</v>
      </c>
      <c r="E231" s="14" t="s">
        <v>78</v>
      </c>
      <c r="F231" s="15" t="n">
        <v>91.8</v>
      </c>
      <c r="G231" s="15" t="n">
        <v>91.8</v>
      </c>
      <c r="H231" s="15" t="n">
        <v>0</v>
      </c>
      <c r="I231" s="15" t="n">
        <v>0</v>
      </c>
      <c r="J231" s="15" t="n">
        <v>0</v>
      </c>
      <c r="K231" s="16" t="n">
        <v>0</v>
      </c>
      <c r="L231" s="24" t="n">
        <v>161728.33</v>
      </c>
      <c r="M231" s="24" t="n">
        <v>179647.39</v>
      </c>
    </row>
    <row r="232" customFormat="false" ht="15" hidden="false" customHeight="false" outlineLevel="0" collapsed="false">
      <c r="A232" s="17" t="s">
        <v>70</v>
      </c>
      <c r="B232" s="17" t="s">
        <v>71</v>
      </c>
      <c r="C232" s="17" t="s">
        <v>88</v>
      </c>
      <c r="D232" s="17" t="s">
        <v>89</v>
      </c>
      <c r="E232" s="17" t="s">
        <v>78</v>
      </c>
      <c r="F232" s="18" t="n">
        <v>196.55</v>
      </c>
      <c r="G232" s="18" t="n">
        <v>196.55</v>
      </c>
      <c r="H232" s="18" t="n">
        <v>0</v>
      </c>
      <c r="I232" s="18" t="n">
        <v>0</v>
      </c>
      <c r="J232" s="18" t="n">
        <v>0</v>
      </c>
      <c r="K232" s="19" t="n">
        <v>0</v>
      </c>
      <c r="L232" s="26" t="n">
        <v>331508.04</v>
      </c>
      <c r="M232" s="26" t="n">
        <v>374943.67</v>
      </c>
    </row>
    <row r="233" customFormat="false" ht="15" hidden="false" customHeight="false" outlineLevel="0" collapsed="false">
      <c r="A233" s="14" t="s">
        <v>70</v>
      </c>
      <c r="B233" s="14" t="s">
        <v>71</v>
      </c>
      <c r="C233" s="14" t="s">
        <v>132</v>
      </c>
      <c r="D233" s="14" t="s">
        <v>133</v>
      </c>
      <c r="E233" s="14" t="s">
        <v>78</v>
      </c>
      <c r="F233" s="15" t="n">
        <v>154.14</v>
      </c>
      <c r="G233" s="15" t="n">
        <v>154.14</v>
      </c>
      <c r="H233" s="15" t="n">
        <v>0</v>
      </c>
      <c r="I233" s="15" t="n">
        <v>0</v>
      </c>
      <c r="J233" s="15" t="n">
        <v>0</v>
      </c>
      <c r="K233" s="16" t="n">
        <v>0</v>
      </c>
      <c r="L233" s="24" t="n">
        <v>217459.43</v>
      </c>
      <c r="M233" s="24" t="n">
        <v>250599.61</v>
      </c>
    </row>
    <row r="234" customFormat="false" ht="15" hidden="false" customHeight="false" outlineLevel="0" collapsed="false">
      <c r="A234" s="17" t="s">
        <v>70</v>
      </c>
      <c r="B234" s="17" t="s">
        <v>71</v>
      </c>
      <c r="C234" s="17" t="s">
        <v>92</v>
      </c>
      <c r="D234" s="17" t="s">
        <v>93</v>
      </c>
      <c r="E234" s="17" t="s">
        <v>78</v>
      </c>
      <c r="F234" s="18" t="n">
        <v>96.23</v>
      </c>
      <c r="G234" s="18" t="n">
        <v>95.28</v>
      </c>
      <c r="H234" s="18" t="n">
        <v>0.95</v>
      </c>
      <c r="I234" s="18" t="n">
        <v>0</v>
      </c>
      <c r="J234" s="18" t="n">
        <v>0</v>
      </c>
      <c r="K234" s="19" t="n">
        <v>0</v>
      </c>
      <c r="L234" s="26" t="n">
        <v>148179.5</v>
      </c>
      <c r="M234" s="26" t="n">
        <v>165822.51</v>
      </c>
    </row>
    <row r="235" customFormat="false" ht="15" hidden="false" customHeight="false" outlineLevel="0" collapsed="false">
      <c r="A235" s="14" t="s">
        <v>70</v>
      </c>
      <c r="B235" s="14" t="s">
        <v>71</v>
      </c>
      <c r="C235" s="14" t="s">
        <v>94</v>
      </c>
      <c r="D235" s="14" t="s">
        <v>95</v>
      </c>
      <c r="E235" s="14" t="s">
        <v>78</v>
      </c>
      <c r="F235" s="15" t="n">
        <v>126.82</v>
      </c>
      <c r="G235" s="15" t="n">
        <v>101.07</v>
      </c>
      <c r="H235" s="15" t="n">
        <v>25.75</v>
      </c>
      <c r="I235" s="15" t="n">
        <v>0</v>
      </c>
      <c r="J235" s="15" t="n">
        <v>0</v>
      </c>
      <c r="K235" s="16" t="n">
        <v>0</v>
      </c>
      <c r="L235" s="24" t="n">
        <v>185007.66</v>
      </c>
      <c r="M235" s="24" t="n">
        <v>211973.77</v>
      </c>
    </row>
    <row r="236" customFormat="false" ht="15" hidden="false" customHeight="false" outlineLevel="0" collapsed="false">
      <c r="A236" s="17" t="s">
        <v>70</v>
      </c>
      <c r="B236" s="17" t="s">
        <v>71</v>
      </c>
      <c r="C236" s="17" t="s">
        <v>134</v>
      </c>
      <c r="D236" s="17" t="s">
        <v>135</v>
      </c>
      <c r="E236" s="17" t="s">
        <v>78</v>
      </c>
      <c r="F236" s="18" t="n">
        <v>30.35</v>
      </c>
      <c r="G236" s="18" t="n">
        <v>30.35</v>
      </c>
      <c r="H236" s="18" t="n">
        <v>0</v>
      </c>
      <c r="I236" s="18" t="n">
        <v>0</v>
      </c>
      <c r="J236" s="18" t="n">
        <v>0</v>
      </c>
      <c r="K236" s="19" t="n">
        <v>0</v>
      </c>
      <c r="L236" s="26" t="n">
        <v>38388.04</v>
      </c>
      <c r="M236" s="26" t="n">
        <v>43351.62</v>
      </c>
    </row>
    <row r="237" customFormat="false" ht="15" hidden="false" customHeight="false" outlineLevel="0" collapsed="false">
      <c r="A237" s="36" t="s">
        <v>70</v>
      </c>
      <c r="B237" s="36" t="s">
        <v>71</v>
      </c>
      <c r="C237" s="36" t="s">
        <v>98</v>
      </c>
      <c r="D237" s="36" t="s">
        <v>99</v>
      </c>
      <c r="E237" s="36" t="s">
        <v>78</v>
      </c>
      <c r="F237" s="37" t="n">
        <v>314.89</v>
      </c>
      <c r="G237" s="37" t="n">
        <v>38.61</v>
      </c>
      <c r="H237" s="37" t="n">
        <v>39.89</v>
      </c>
      <c r="I237" s="37" t="n">
        <v>58.9</v>
      </c>
      <c r="J237" s="37" t="n">
        <v>177.49</v>
      </c>
      <c r="K237" s="38" t="n">
        <v>0.563657150115914</v>
      </c>
      <c r="L237" s="39" t="n">
        <v>438242.12</v>
      </c>
      <c r="M237" s="39" t="n">
        <v>540372.38</v>
      </c>
    </row>
    <row r="238" customFormat="false" ht="15" hidden="false" customHeight="false" outlineLevel="0" collapsed="false">
      <c r="A238" s="17" t="s">
        <v>70</v>
      </c>
      <c r="B238" s="17" t="s">
        <v>71</v>
      </c>
      <c r="C238" s="17" t="s">
        <v>136</v>
      </c>
      <c r="D238" s="17" t="s">
        <v>137</v>
      </c>
      <c r="E238" s="17" t="s">
        <v>79</v>
      </c>
      <c r="F238" s="18" t="n">
        <v>40.21</v>
      </c>
      <c r="G238" s="18" t="n">
        <v>40.21</v>
      </c>
      <c r="H238" s="18" t="n">
        <v>0</v>
      </c>
      <c r="I238" s="18" t="n">
        <v>0</v>
      </c>
      <c r="J238" s="18" t="n">
        <v>0</v>
      </c>
      <c r="K238" s="19" t="n">
        <v>0</v>
      </c>
      <c r="L238" s="26" t="n">
        <v>215618.57</v>
      </c>
      <c r="M238" s="26" t="n">
        <v>232526.24</v>
      </c>
    </row>
    <row r="239" customFormat="false" ht="15" hidden="false" customHeight="false" outlineLevel="0" collapsed="false">
      <c r="A239" s="14" t="s">
        <v>70</v>
      </c>
      <c r="B239" s="14" t="s">
        <v>71</v>
      </c>
      <c r="C239" s="14" t="s">
        <v>162</v>
      </c>
      <c r="D239" s="14" t="s">
        <v>163</v>
      </c>
      <c r="E239" s="14" t="s">
        <v>79</v>
      </c>
      <c r="F239" s="15" t="n">
        <v>26.57</v>
      </c>
      <c r="G239" s="15" t="n">
        <v>26.57</v>
      </c>
      <c r="H239" s="15" t="n">
        <v>0</v>
      </c>
      <c r="I239" s="15" t="n">
        <v>0</v>
      </c>
      <c r="J239" s="15" t="n">
        <v>0</v>
      </c>
      <c r="K239" s="16" t="n">
        <v>0</v>
      </c>
      <c r="L239" s="24" t="n">
        <v>116885.7</v>
      </c>
      <c r="M239" s="24" t="n">
        <v>134875.15</v>
      </c>
    </row>
    <row r="240" customFormat="false" ht="15" hidden="false" customHeight="false" outlineLevel="0" collapsed="false">
      <c r="A240" s="36" t="s">
        <v>70</v>
      </c>
      <c r="B240" s="36" t="s">
        <v>71</v>
      </c>
      <c r="C240" s="36" t="s">
        <v>164</v>
      </c>
      <c r="D240" s="36" t="s">
        <v>165</v>
      </c>
      <c r="E240" s="36" t="s">
        <v>79</v>
      </c>
      <c r="F240" s="37" t="n">
        <v>43.04</v>
      </c>
      <c r="G240" s="37" t="n">
        <v>5.29</v>
      </c>
      <c r="H240" s="37" t="n">
        <v>9.4</v>
      </c>
      <c r="I240" s="37" t="n">
        <v>5.88</v>
      </c>
      <c r="J240" s="37" t="n">
        <v>22.47</v>
      </c>
      <c r="K240" s="38" t="n">
        <v>0.52207249070632</v>
      </c>
      <c r="L240" s="39" t="n">
        <v>223972.44</v>
      </c>
      <c r="M240" s="39" t="n">
        <v>261685.79</v>
      </c>
    </row>
    <row r="241" customFormat="false" ht="15" hidden="false" customHeight="false" outlineLevel="0" collapsed="false">
      <c r="A241" s="14" t="s">
        <v>70</v>
      </c>
      <c r="B241" s="14" t="s">
        <v>71</v>
      </c>
      <c r="C241" s="14" t="s">
        <v>138</v>
      </c>
      <c r="D241" s="14" t="s">
        <v>139</v>
      </c>
      <c r="E241" s="14" t="s">
        <v>79</v>
      </c>
      <c r="F241" s="15" t="n">
        <v>12.8</v>
      </c>
      <c r="G241" s="15" t="n">
        <v>12.8</v>
      </c>
      <c r="H241" s="15" t="n">
        <v>0</v>
      </c>
      <c r="I241" s="15" t="n">
        <v>0</v>
      </c>
      <c r="J241" s="15" t="n">
        <v>0</v>
      </c>
      <c r="K241" s="16" t="n">
        <v>0</v>
      </c>
      <c r="L241" s="24" t="n">
        <v>51281.87</v>
      </c>
      <c r="M241" s="24" t="n">
        <v>57933.72</v>
      </c>
    </row>
    <row r="242" customFormat="false" ht="15" hidden="false" customHeight="false" outlineLevel="0" collapsed="false">
      <c r="A242" s="17" t="s">
        <v>70</v>
      </c>
      <c r="B242" s="17" t="s">
        <v>71</v>
      </c>
      <c r="C242" s="17" t="s">
        <v>142</v>
      </c>
      <c r="D242" s="17" t="s">
        <v>143</v>
      </c>
      <c r="E242" s="17" t="s">
        <v>79</v>
      </c>
      <c r="F242" s="18" t="n">
        <v>11.01</v>
      </c>
      <c r="G242" s="18" t="n">
        <v>9.11</v>
      </c>
      <c r="H242" s="18" t="n">
        <v>1.9</v>
      </c>
      <c r="I242" s="18" t="n">
        <v>0</v>
      </c>
      <c r="J242" s="18" t="n">
        <v>0</v>
      </c>
      <c r="K242" s="19" t="n">
        <v>0</v>
      </c>
      <c r="L242" s="26" t="n">
        <v>55329.5</v>
      </c>
      <c r="M242" s="26" t="n">
        <v>60801.79</v>
      </c>
    </row>
    <row r="243" customFormat="false" ht="15" hidden="false" customHeight="false" outlineLevel="0" collapsed="false">
      <c r="A243" s="14" t="s">
        <v>70</v>
      </c>
      <c r="B243" s="14" t="s">
        <v>71</v>
      </c>
      <c r="C243" s="14" t="s">
        <v>100</v>
      </c>
      <c r="D243" s="14" t="s">
        <v>101</v>
      </c>
      <c r="E243" s="14" t="s">
        <v>77</v>
      </c>
      <c r="F243" s="15" t="n">
        <v>20.42</v>
      </c>
      <c r="G243" s="15" t="n">
        <v>20.42</v>
      </c>
      <c r="H243" s="15" t="n">
        <v>0</v>
      </c>
      <c r="I243" s="15" t="n">
        <v>0</v>
      </c>
      <c r="J243" s="15" t="n">
        <v>0</v>
      </c>
      <c r="K243" s="16" t="n">
        <v>0</v>
      </c>
      <c r="L243" s="24" t="n">
        <v>176271.35</v>
      </c>
      <c r="M243" s="24" t="n">
        <v>180272.76</v>
      </c>
    </row>
    <row r="244" customFormat="false" ht="15" hidden="false" customHeight="false" outlineLevel="0" collapsed="false">
      <c r="A244" s="17" t="s">
        <v>70</v>
      </c>
      <c r="B244" s="17" t="s">
        <v>71</v>
      </c>
      <c r="C244" s="17" t="s">
        <v>144</v>
      </c>
      <c r="D244" s="17" t="s">
        <v>145</v>
      </c>
      <c r="E244" s="17" t="s">
        <v>77</v>
      </c>
      <c r="F244" s="18" t="n">
        <v>64.96</v>
      </c>
      <c r="G244" s="18" t="n">
        <v>64.96</v>
      </c>
      <c r="H244" s="18" t="n">
        <v>0</v>
      </c>
      <c r="I244" s="18" t="n">
        <v>0</v>
      </c>
      <c r="J244" s="18" t="n">
        <v>0</v>
      </c>
      <c r="K244" s="19" t="n">
        <v>0</v>
      </c>
      <c r="L244" s="26" t="n">
        <v>534812.66</v>
      </c>
      <c r="M244" s="26" t="n">
        <v>556224.8</v>
      </c>
    </row>
    <row r="245" customFormat="false" ht="15" hidden="false" customHeight="false" outlineLevel="0" collapsed="false">
      <c r="A245" s="14" t="s">
        <v>70</v>
      </c>
      <c r="B245" s="14" t="s">
        <v>71</v>
      </c>
      <c r="C245" s="14" t="s">
        <v>102</v>
      </c>
      <c r="D245" s="14" t="s">
        <v>103</v>
      </c>
      <c r="E245" s="14" t="s">
        <v>77</v>
      </c>
      <c r="F245" s="15" t="n">
        <v>65.92</v>
      </c>
      <c r="G245" s="15" t="n">
        <v>65.92</v>
      </c>
      <c r="H245" s="15" t="n">
        <v>0</v>
      </c>
      <c r="I245" s="15" t="n">
        <v>0</v>
      </c>
      <c r="J245" s="15" t="n">
        <v>0</v>
      </c>
      <c r="K245" s="16" t="n">
        <v>0</v>
      </c>
      <c r="L245" s="24" t="n">
        <v>508958.2</v>
      </c>
      <c r="M245" s="24" t="n">
        <v>537852.12</v>
      </c>
    </row>
    <row r="246" customFormat="false" ht="15" hidden="false" customHeight="false" outlineLevel="0" collapsed="false">
      <c r="A246" s="17" t="s">
        <v>70</v>
      </c>
      <c r="B246" s="17" t="s">
        <v>71</v>
      </c>
      <c r="C246" s="17" t="s">
        <v>104</v>
      </c>
      <c r="D246" s="17" t="s">
        <v>105</v>
      </c>
      <c r="E246" s="17" t="s">
        <v>77</v>
      </c>
      <c r="F246" s="18" t="n">
        <v>65.02</v>
      </c>
      <c r="G246" s="18" t="n">
        <v>65.02</v>
      </c>
      <c r="H246" s="18" t="n">
        <v>0</v>
      </c>
      <c r="I246" s="18" t="n">
        <v>0</v>
      </c>
      <c r="J246" s="18" t="n">
        <v>0</v>
      </c>
      <c r="K246" s="19" t="n">
        <v>0</v>
      </c>
      <c r="L246" s="26" t="n">
        <v>262903.41</v>
      </c>
      <c r="M246" s="26" t="n">
        <v>271533.55</v>
      </c>
    </row>
    <row r="247" customFormat="false" ht="15" hidden="false" customHeight="false" outlineLevel="0" collapsed="false">
      <c r="A247" s="14" t="s">
        <v>70</v>
      </c>
      <c r="B247" s="14" t="s">
        <v>71</v>
      </c>
      <c r="C247" s="14" t="s">
        <v>110</v>
      </c>
      <c r="D247" s="14" t="s">
        <v>111</v>
      </c>
      <c r="E247" s="14" t="s">
        <v>77</v>
      </c>
      <c r="F247" s="15" t="n">
        <v>42.95</v>
      </c>
      <c r="G247" s="15" t="n">
        <v>42.95</v>
      </c>
      <c r="H247" s="15" t="n">
        <v>0</v>
      </c>
      <c r="I247" s="15" t="n">
        <v>0</v>
      </c>
      <c r="J247" s="15" t="n">
        <v>0</v>
      </c>
      <c r="K247" s="16" t="n">
        <v>0</v>
      </c>
      <c r="L247" s="24" t="n">
        <v>94454.36</v>
      </c>
      <c r="M247" s="24" t="n">
        <v>99612.22</v>
      </c>
    </row>
    <row r="248" customFormat="false" ht="15" hidden="false" customHeight="false" outlineLevel="0" collapsed="false">
      <c r="A248" s="17" t="s">
        <v>70</v>
      </c>
      <c r="B248" s="17" t="s">
        <v>71</v>
      </c>
      <c r="C248" s="17" t="s">
        <v>112</v>
      </c>
      <c r="D248" s="17" t="s">
        <v>113</v>
      </c>
      <c r="E248" s="17" t="s">
        <v>81</v>
      </c>
      <c r="F248" s="18" t="n">
        <v>861.29</v>
      </c>
      <c r="G248" s="18" t="n">
        <v>861.29</v>
      </c>
      <c r="H248" s="18" t="n">
        <v>0</v>
      </c>
      <c r="I248" s="18" t="n">
        <v>0</v>
      </c>
      <c r="J248" s="18" t="n">
        <v>0</v>
      </c>
      <c r="K248" s="19" t="n">
        <v>0</v>
      </c>
      <c r="L248" s="26" t="n">
        <v>255121.45</v>
      </c>
      <c r="M248" s="26" t="n">
        <v>315028.48</v>
      </c>
    </row>
    <row r="249" customFormat="false" ht="15" hidden="false" customHeight="false" outlineLevel="0" collapsed="false">
      <c r="A249" s="14" t="s">
        <v>70</v>
      </c>
      <c r="B249" s="14" t="s">
        <v>71</v>
      </c>
      <c r="C249" s="14" t="s">
        <v>146</v>
      </c>
      <c r="D249" s="14" t="s">
        <v>147</v>
      </c>
      <c r="E249" s="14" t="s">
        <v>81</v>
      </c>
      <c r="F249" s="15" t="n">
        <v>197.47</v>
      </c>
      <c r="G249" s="15" t="n">
        <v>197.47</v>
      </c>
      <c r="H249" s="15" t="n">
        <v>0</v>
      </c>
      <c r="I249" s="15" t="n">
        <v>0</v>
      </c>
      <c r="J249" s="15" t="n">
        <v>0</v>
      </c>
      <c r="K249" s="16" t="n">
        <v>0</v>
      </c>
      <c r="L249" s="24" t="n">
        <v>54303.24</v>
      </c>
      <c r="M249" s="24" t="n">
        <v>64838.55</v>
      </c>
    </row>
    <row r="250" customFormat="false" ht="15" hidden="false" customHeight="false" outlineLevel="0" collapsed="false">
      <c r="A250" s="17" t="s">
        <v>70</v>
      </c>
      <c r="B250" s="17" t="s">
        <v>71</v>
      </c>
      <c r="C250" s="17" t="s">
        <v>150</v>
      </c>
      <c r="D250" s="17" t="s">
        <v>151</v>
      </c>
      <c r="E250" s="17" t="s">
        <v>81</v>
      </c>
      <c r="F250" s="18" t="n">
        <v>559.53</v>
      </c>
      <c r="G250" s="18" t="n">
        <v>559.53</v>
      </c>
      <c r="H250" s="18" t="n">
        <v>0</v>
      </c>
      <c r="I250" s="18" t="n">
        <v>0</v>
      </c>
      <c r="J250" s="18" t="n">
        <v>0</v>
      </c>
      <c r="K250" s="19" t="n">
        <v>0</v>
      </c>
      <c r="L250" s="26" t="n">
        <v>187376.83</v>
      </c>
      <c r="M250" s="26" t="n">
        <v>226732.29</v>
      </c>
    </row>
    <row r="251" customFormat="false" ht="15" hidden="false" customHeight="false" outlineLevel="0" collapsed="false">
      <c r="A251" s="14" t="s">
        <v>70</v>
      </c>
      <c r="B251" s="14" t="s">
        <v>71</v>
      </c>
      <c r="C251" s="14" t="s">
        <v>152</v>
      </c>
      <c r="D251" s="14" t="s">
        <v>153</v>
      </c>
      <c r="E251" s="14" t="s">
        <v>81</v>
      </c>
      <c r="F251" s="15" t="n">
        <v>351.26</v>
      </c>
      <c r="G251" s="15" t="n">
        <v>351.26</v>
      </c>
      <c r="H251" s="15" t="n">
        <v>0</v>
      </c>
      <c r="I251" s="15" t="n">
        <v>0</v>
      </c>
      <c r="J251" s="15" t="n">
        <v>0</v>
      </c>
      <c r="K251" s="16" t="n">
        <v>0</v>
      </c>
      <c r="L251" s="24" t="n">
        <v>113805.43</v>
      </c>
      <c r="M251" s="24" t="n">
        <v>130471.76</v>
      </c>
    </row>
    <row r="252" customFormat="false" ht="15" hidden="false" customHeight="false" outlineLevel="0" collapsed="false">
      <c r="A252" s="17" t="s">
        <v>70</v>
      </c>
      <c r="B252" s="17" t="s">
        <v>71</v>
      </c>
      <c r="C252" s="17" t="s">
        <v>118</v>
      </c>
      <c r="D252" s="17" t="s">
        <v>119</v>
      </c>
      <c r="E252" s="17" t="s">
        <v>81</v>
      </c>
      <c r="F252" s="18" t="n">
        <v>173.85</v>
      </c>
      <c r="G252" s="18" t="n">
        <v>173.85</v>
      </c>
      <c r="H252" s="18" t="n">
        <v>0</v>
      </c>
      <c r="I252" s="18" t="n">
        <v>0</v>
      </c>
      <c r="J252" s="18" t="n">
        <v>0</v>
      </c>
      <c r="K252" s="19" t="n">
        <v>0</v>
      </c>
      <c r="L252" s="26" t="n">
        <v>54727.09</v>
      </c>
      <c r="M252" s="26" t="n">
        <v>68415.25</v>
      </c>
    </row>
    <row r="253" customFormat="false" ht="15" hidden="false" customHeight="false" outlineLevel="0" collapsed="false">
      <c r="A253" s="14" t="s">
        <v>70</v>
      </c>
      <c r="B253" s="14" t="s">
        <v>71</v>
      </c>
      <c r="C253" s="14" t="s">
        <v>120</v>
      </c>
      <c r="D253" s="14" t="s">
        <v>121</v>
      </c>
      <c r="E253" s="14" t="s">
        <v>80</v>
      </c>
      <c r="F253" s="15" t="n">
        <v>109.84</v>
      </c>
      <c r="G253" s="15" t="n">
        <v>109.84</v>
      </c>
      <c r="H253" s="15" t="n">
        <v>0</v>
      </c>
      <c r="I253" s="15" t="n">
        <v>0</v>
      </c>
      <c r="J253" s="15" t="n">
        <v>0</v>
      </c>
      <c r="K253" s="16" t="n">
        <v>0</v>
      </c>
      <c r="L253" s="24" t="n">
        <v>119954.84</v>
      </c>
      <c r="M253" s="24" t="n">
        <v>146202.37</v>
      </c>
    </row>
    <row r="254" customFormat="false" ht="15" hidden="false" customHeight="false" outlineLevel="0" collapsed="false">
      <c r="A254" s="17" t="s">
        <v>70</v>
      </c>
      <c r="B254" s="17" t="s">
        <v>71</v>
      </c>
      <c r="C254" s="17" t="s">
        <v>122</v>
      </c>
      <c r="D254" s="17" t="s">
        <v>123</v>
      </c>
      <c r="E254" s="17" t="s">
        <v>80</v>
      </c>
      <c r="F254" s="18" t="n">
        <v>62.69</v>
      </c>
      <c r="G254" s="18" t="n">
        <v>62.69</v>
      </c>
      <c r="H254" s="18" t="n">
        <v>0</v>
      </c>
      <c r="I254" s="18" t="n">
        <v>0</v>
      </c>
      <c r="J254" s="18" t="n">
        <v>0</v>
      </c>
      <c r="K254" s="19" t="n">
        <v>0</v>
      </c>
      <c r="L254" s="26" t="n">
        <v>57788.89</v>
      </c>
      <c r="M254" s="26" t="n">
        <v>66690.38</v>
      </c>
    </row>
    <row r="255" customFormat="false" ht="15" hidden="false" customHeight="false" outlineLevel="0" collapsed="false">
      <c r="A255" s="14" t="s">
        <v>70</v>
      </c>
      <c r="B255" s="14" t="s">
        <v>71</v>
      </c>
      <c r="C255" s="14" t="s">
        <v>126</v>
      </c>
      <c r="D255" s="14" t="s">
        <v>127</v>
      </c>
      <c r="E255" s="14" t="s">
        <v>80</v>
      </c>
      <c r="F255" s="15" t="n">
        <v>10.62</v>
      </c>
      <c r="G255" s="15" t="n">
        <v>8.14</v>
      </c>
      <c r="H255" s="15" t="n">
        <v>2.48</v>
      </c>
      <c r="I255" s="15" t="n">
        <v>0</v>
      </c>
      <c r="J255" s="15" t="n">
        <v>0</v>
      </c>
      <c r="K255" s="16" t="n">
        <v>0</v>
      </c>
      <c r="L255" s="24" t="n">
        <v>12611.17</v>
      </c>
      <c r="M255" s="24" t="n">
        <v>15555.41</v>
      </c>
    </row>
    <row r="256" customFormat="false" ht="15" hidden="false" customHeight="false" outlineLevel="0" collapsed="false">
      <c r="A256" s="17" t="s">
        <v>70</v>
      </c>
      <c r="B256" s="17" t="s">
        <v>71</v>
      </c>
      <c r="C256" s="17" t="s">
        <v>128</v>
      </c>
      <c r="D256" s="17" t="s">
        <v>129</v>
      </c>
      <c r="E256" s="17" t="s">
        <v>80</v>
      </c>
      <c r="F256" s="18" t="n">
        <v>159.94</v>
      </c>
      <c r="G256" s="18" t="n">
        <v>65.64</v>
      </c>
      <c r="H256" s="18" t="n">
        <v>94.3</v>
      </c>
      <c r="I256" s="18" t="n">
        <v>0</v>
      </c>
      <c r="J256" s="18" t="n">
        <v>0</v>
      </c>
      <c r="K256" s="19" t="n">
        <v>0</v>
      </c>
      <c r="L256" s="26" t="n">
        <v>62507.23</v>
      </c>
      <c r="M256" s="26" t="n">
        <v>74229.75</v>
      </c>
    </row>
    <row r="257" customFormat="false" ht="15" hidden="false" customHeight="false" outlineLevel="0" collapsed="false">
      <c r="A257" s="14" t="s">
        <v>70</v>
      </c>
      <c r="B257" s="14" t="s">
        <v>71</v>
      </c>
      <c r="C257" s="14" t="s">
        <v>158</v>
      </c>
      <c r="D257" s="14" t="s">
        <v>159</v>
      </c>
      <c r="E257" s="14" t="s">
        <v>80</v>
      </c>
      <c r="F257" s="15" t="n">
        <v>3.35</v>
      </c>
      <c r="G257" s="15" t="n">
        <v>3.35</v>
      </c>
      <c r="H257" s="15" t="n">
        <v>0</v>
      </c>
      <c r="I257" s="15" t="n">
        <v>0</v>
      </c>
      <c r="J257" s="15" t="n">
        <v>0</v>
      </c>
      <c r="K257" s="16" t="n">
        <v>0</v>
      </c>
      <c r="L257" s="24" t="n">
        <v>2313.95</v>
      </c>
      <c r="M257" s="24" t="n">
        <v>2662.87</v>
      </c>
    </row>
    <row r="258" customFormat="false" ht="15" hidden="false" customHeight="false" outlineLevel="0" collapsed="false">
      <c r="A258" s="17" t="s">
        <v>70</v>
      </c>
      <c r="B258" s="17" t="s">
        <v>71</v>
      </c>
      <c r="C258" s="17" t="s">
        <v>130</v>
      </c>
      <c r="D258" s="17" t="s">
        <v>131</v>
      </c>
      <c r="E258" s="17" t="s">
        <v>80</v>
      </c>
      <c r="F258" s="18" t="n">
        <v>65.6</v>
      </c>
      <c r="G258" s="18" t="n">
        <v>51.14</v>
      </c>
      <c r="H258" s="18" t="n">
        <v>14.46</v>
      </c>
      <c r="I258" s="18" t="n">
        <v>0</v>
      </c>
      <c r="J258" s="18" t="n">
        <v>0</v>
      </c>
      <c r="K258" s="19" t="n">
        <v>0</v>
      </c>
      <c r="L258" s="26" t="n">
        <v>42056.05</v>
      </c>
      <c r="M258" s="26" t="n">
        <v>47854.76</v>
      </c>
    </row>
    <row r="261" customFormat="false" ht="15" hidden="false" customHeight="false" outlineLevel="0" collapsed="false">
      <c r="A261" s="28" t="s">
        <v>166</v>
      </c>
    </row>
    <row r="262" customFormat="false" ht="15" hidden="false" customHeight="false" outlineLevel="0" collapsed="false">
      <c r="A262" s="44" t="s">
        <v>167</v>
      </c>
    </row>
    <row r="263" customFormat="false" ht="15" hidden="false" customHeight="false" outlineLevel="0" collapsed="false">
      <c r="A263" s="45" t="s">
        <v>168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7" min="6" style="0" width="20"/>
    <col collapsed="false" customWidth="true" hidden="false" outlineLevel="0" max="8" min="8" style="0" width="21"/>
    <col collapsed="false" customWidth="true" hidden="false" outlineLevel="0" max="9" min="9" style="0" width="24"/>
    <col collapsed="false" customWidth="true" hidden="false" outlineLevel="0" max="10" min="10" style="0" width="20"/>
  </cols>
  <sheetData>
    <row r="1" customFormat="false" ht="19.7" hidden="false" customHeight="false" outlineLevel="0" collapsed="false">
      <c r="A1" s="4" t="s">
        <v>169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6" t="s">
        <v>170</v>
      </c>
    </row>
    <row r="4" customFormat="false" ht="15" hidden="false" customHeight="false" outlineLevel="0" collapsed="false">
      <c r="A4" s="13" t="s">
        <v>84</v>
      </c>
      <c r="B4" s="13" t="s">
        <v>85</v>
      </c>
      <c r="C4" s="13" t="s">
        <v>74</v>
      </c>
      <c r="D4" s="13" t="s">
        <v>171</v>
      </c>
      <c r="E4" s="13" t="s">
        <v>172</v>
      </c>
      <c r="F4" s="13" t="s">
        <v>173</v>
      </c>
      <c r="G4" s="13" t="s">
        <v>174</v>
      </c>
      <c r="H4" s="13" t="s">
        <v>175</v>
      </c>
      <c r="I4" s="13" t="s">
        <v>176</v>
      </c>
      <c r="J4" s="13" t="s">
        <v>177</v>
      </c>
    </row>
    <row r="5" customFormat="false" ht="15" hidden="false" customHeight="false" outlineLevel="0" collapsed="false">
      <c r="A5" s="14" t="s">
        <v>86</v>
      </c>
      <c r="B5" s="14" t="s">
        <v>87</v>
      </c>
      <c r="C5" s="14" t="s">
        <v>78</v>
      </c>
      <c r="D5" s="15" t="n">
        <v>1836.82</v>
      </c>
      <c r="E5" s="33" t="n">
        <v>1746.86</v>
      </c>
      <c r="F5" s="33" t="n">
        <v>1956.94</v>
      </c>
      <c r="G5" s="33" t="n">
        <v>210.08</v>
      </c>
      <c r="H5" s="16" t="n">
        <v>0.120261497773147</v>
      </c>
      <c r="I5" s="46" t="n">
        <v>0.023296955637957</v>
      </c>
      <c r="J5" s="24" t="n">
        <v>3208667.3852</v>
      </c>
    </row>
    <row r="6" customFormat="false" ht="15" hidden="false" customHeight="false" outlineLevel="0" collapsed="false">
      <c r="A6" s="17" t="s">
        <v>88</v>
      </c>
      <c r="B6" s="17" t="s">
        <v>89</v>
      </c>
      <c r="C6" s="17" t="s">
        <v>78</v>
      </c>
      <c r="D6" s="18" t="n">
        <v>2187.49</v>
      </c>
      <c r="E6" s="34" t="n">
        <v>1675.64</v>
      </c>
      <c r="F6" s="34" t="n">
        <v>1907.62</v>
      </c>
      <c r="G6" s="34" t="n">
        <v>231.98</v>
      </c>
      <c r="H6" s="19" t="n">
        <v>0.138442624907498</v>
      </c>
      <c r="I6" s="19" t="n">
        <v>-0.00151949421698375</v>
      </c>
      <c r="J6" s="26" t="n">
        <v>3665445.7436</v>
      </c>
    </row>
    <row r="7" customFormat="false" ht="15" hidden="false" customHeight="false" outlineLevel="0" collapsed="false">
      <c r="A7" s="14" t="s">
        <v>90</v>
      </c>
      <c r="B7" s="14" t="s">
        <v>91</v>
      </c>
      <c r="C7" s="14" t="s">
        <v>78</v>
      </c>
      <c r="D7" s="15" t="n">
        <v>1497.64</v>
      </c>
      <c r="E7" s="33" t="n">
        <v>1617.22</v>
      </c>
      <c r="F7" s="33" t="n">
        <v>1864.92</v>
      </c>
      <c r="G7" s="33" t="n">
        <v>247.7</v>
      </c>
      <c r="H7" s="16" t="n">
        <v>0.15316407167856</v>
      </c>
      <c r="I7" s="16" t="n">
        <v>0.012623195121035</v>
      </c>
      <c r="J7" s="24" t="n">
        <v>2422013.3608</v>
      </c>
    </row>
    <row r="8" customFormat="false" ht="15" hidden="false" customHeight="false" outlineLevel="0" collapsed="false">
      <c r="A8" s="17" t="s">
        <v>132</v>
      </c>
      <c r="B8" s="17" t="s">
        <v>133</v>
      </c>
      <c r="C8" s="17" t="s">
        <v>78</v>
      </c>
      <c r="D8" s="18" t="n">
        <v>1061.67</v>
      </c>
      <c r="E8" s="34" t="n">
        <v>1405.63</v>
      </c>
      <c r="F8" s="34" t="n">
        <v>1625.79</v>
      </c>
      <c r="G8" s="34" t="n">
        <v>220.16</v>
      </c>
      <c r="H8" s="19" t="n">
        <v>0.156627277448546</v>
      </c>
      <c r="I8" s="19" t="n">
        <v>0.0131104768494494</v>
      </c>
      <c r="J8" s="26" t="n">
        <v>1492315.2021</v>
      </c>
    </row>
    <row r="9" customFormat="false" ht="15" hidden="false" customHeight="false" outlineLevel="0" collapsed="false">
      <c r="A9" s="14" t="s">
        <v>92</v>
      </c>
      <c r="B9" s="14" t="s">
        <v>93</v>
      </c>
      <c r="C9" s="14" t="s">
        <v>78</v>
      </c>
      <c r="D9" s="15" t="n">
        <v>1062.59</v>
      </c>
      <c r="E9" s="33" t="n">
        <v>1540.17</v>
      </c>
      <c r="F9" s="33" t="n">
        <v>1723.19</v>
      </c>
      <c r="G9" s="33" t="n">
        <v>183.02</v>
      </c>
      <c r="H9" s="16" t="n">
        <v>0.118831038132154</v>
      </c>
      <c r="I9" s="16" t="n">
        <v>0.00778658221387588</v>
      </c>
      <c r="J9" s="24" t="n">
        <v>1636569.2403</v>
      </c>
    </row>
    <row r="10" customFormat="false" ht="15" hidden="false" customHeight="false" outlineLevel="0" collapsed="false">
      <c r="A10" s="17" t="s">
        <v>94</v>
      </c>
      <c r="B10" s="17" t="s">
        <v>95</v>
      </c>
      <c r="C10" s="17" t="s">
        <v>78</v>
      </c>
      <c r="D10" s="18" t="n">
        <v>1217.42</v>
      </c>
      <c r="E10" s="34" t="n">
        <v>1462.07</v>
      </c>
      <c r="F10" s="34" t="n">
        <v>1671.45</v>
      </c>
      <c r="G10" s="34" t="n">
        <v>209.38</v>
      </c>
      <c r="H10" s="19" t="n">
        <v>0.143207917541568</v>
      </c>
      <c r="I10" s="19" t="n">
        <v>0.0092289638986677</v>
      </c>
      <c r="J10" s="26" t="n">
        <v>1779953.2594</v>
      </c>
    </row>
    <row r="11" customFormat="false" ht="15" hidden="false" customHeight="false" outlineLevel="0" collapsed="false">
      <c r="A11" s="14" t="s">
        <v>134</v>
      </c>
      <c r="B11" s="14" t="s">
        <v>135</v>
      </c>
      <c r="C11" s="14" t="s">
        <v>78</v>
      </c>
      <c r="D11" s="15" t="n">
        <v>381.85</v>
      </c>
      <c r="E11" s="33" t="n">
        <v>1244.74</v>
      </c>
      <c r="F11" s="33" t="n">
        <v>1428.39</v>
      </c>
      <c r="G11" s="33" t="n">
        <v>183.65</v>
      </c>
      <c r="H11" s="16" t="n">
        <v>0.147540851904816</v>
      </c>
      <c r="I11" s="16" t="n">
        <v>0.00467331207877635</v>
      </c>
      <c r="J11" s="24" t="n">
        <v>475303.969</v>
      </c>
    </row>
    <row r="12" customFormat="false" ht="15" hidden="false" customHeight="false" outlineLevel="0" collapsed="false">
      <c r="A12" s="17" t="s">
        <v>96</v>
      </c>
      <c r="B12" s="17" t="s">
        <v>97</v>
      </c>
      <c r="C12" s="17" t="s">
        <v>78</v>
      </c>
      <c r="D12" s="18" t="n">
        <v>253.3</v>
      </c>
      <c r="E12" s="34" t="n">
        <v>1428.59</v>
      </c>
      <c r="F12" s="34" t="n">
        <v>1628.21</v>
      </c>
      <c r="G12" s="34" t="n">
        <v>199.62</v>
      </c>
      <c r="H12" s="19" t="n">
        <v>0.139732183481615</v>
      </c>
      <c r="I12" s="19" t="n">
        <v>-0.00146782321816755</v>
      </c>
      <c r="J12" s="26" t="n">
        <v>361861.847</v>
      </c>
    </row>
    <row r="13" customFormat="false" ht="15" hidden="false" customHeight="false" outlineLevel="0" collapsed="false">
      <c r="A13" s="14" t="s">
        <v>98</v>
      </c>
      <c r="B13" s="14" t="s">
        <v>99</v>
      </c>
      <c r="C13" s="14" t="s">
        <v>78</v>
      </c>
      <c r="D13" s="15" t="n">
        <v>1507.4</v>
      </c>
      <c r="E13" s="33" t="n">
        <v>1483.49</v>
      </c>
      <c r="F13" s="33" t="n">
        <v>1716.07</v>
      </c>
      <c r="G13" s="33" t="n">
        <v>232.58</v>
      </c>
      <c r="H13" s="16" t="n">
        <v>0.156778946942682</v>
      </c>
      <c r="I13" s="16" t="n">
        <v>0.0177900052141936</v>
      </c>
      <c r="J13" s="24" t="n">
        <v>2236212.826</v>
      </c>
    </row>
    <row r="14" customFormat="false" ht="15" hidden="false" customHeight="false" outlineLevel="0" collapsed="false">
      <c r="A14" s="17" t="s">
        <v>136</v>
      </c>
      <c r="B14" s="17" t="s">
        <v>137</v>
      </c>
      <c r="C14" s="17" t="s">
        <v>79</v>
      </c>
      <c r="D14" s="18" t="n">
        <v>329.04</v>
      </c>
      <c r="E14" s="34" t="n">
        <v>5202.99</v>
      </c>
      <c r="F14" s="34" t="n">
        <v>5782.8</v>
      </c>
      <c r="G14" s="34" t="n">
        <v>579.81</v>
      </c>
      <c r="H14" s="19" t="n">
        <v>0.111437846315292</v>
      </c>
      <c r="I14" s="19" t="n">
        <v>0.00281977349297275</v>
      </c>
      <c r="J14" s="26" t="n">
        <v>1711991.8296</v>
      </c>
    </row>
    <row r="15" customFormat="false" ht="15" hidden="false" customHeight="false" outlineLevel="0" collapsed="false">
      <c r="A15" s="14" t="s">
        <v>160</v>
      </c>
      <c r="B15" s="14" t="s">
        <v>161</v>
      </c>
      <c r="C15" s="14" t="s">
        <v>79</v>
      </c>
      <c r="D15" s="15" t="n">
        <v>181.24</v>
      </c>
      <c r="E15" s="33" t="n">
        <v>6269.31</v>
      </c>
      <c r="F15" s="33" t="n">
        <v>7058.9</v>
      </c>
      <c r="G15" s="33" t="n">
        <v>789.589999999999</v>
      </c>
      <c r="H15" s="16" t="n">
        <v>0.125945279464566</v>
      </c>
      <c r="I15" s="16" t="n">
        <v>0.015659400743603</v>
      </c>
      <c r="J15" s="24" t="n">
        <v>1136249.7444</v>
      </c>
    </row>
    <row r="16" customFormat="false" ht="15" hidden="false" customHeight="false" outlineLevel="0" collapsed="false">
      <c r="A16" s="17" t="s">
        <v>162</v>
      </c>
      <c r="B16" s="17" t="s">
        <v>163</v>
      </c>
      <c r="C16" s="17" t="s">
        <v>79</v>
      </c>
      <c r="D16" s="18" t="n">
        <v>697.16</v>
      </c>
      <c r="E16" s="34" t="n">
        <v>4402.54</v>
      </c>
      <c r="F16" s="34" t="n">
        <v>5076.22</v>
      </c>
      <c r="G16" s="34" t="n">
        <v>673.68</v>
      </c>
      <c r="H16" s="19" t="n">
        <v>0.15302075619983</v>
      </c>
      <c r="I16" s="19" t="n">
        <v>-0.00347450932458716</v>
      </c>
      <c r="J16" s="26" t="n">
        <v>3069274.7864</v>
      </c>
    </row>
    <row r="17" customFormat="false" ht="15" hidden="false" customHeight="false" outlineLevel="0" collapsed="false">
      <c r="A17" s="14" t="s">
        <v>164</v>
      </c>
      <c r="B17" s="14" t="s">
        <v>165</v>
      </c>
      <c r="C17" s="14" t="s">
        <v>79</v>
      </c>
      <c r="D17" s="15" t="n">
        <v>123.2</v>
      </c>
      <c r="E17" s="33" t="n">
        <v>5368.96</v>
      </c>
      <c r="F17" s="33" t="n">
        <v>6080.06</v>
      </c>
      <c r="G17" s="33" t="n">
        <v>711.1</v>
      </c>
      <c r="H17" s="16" t="n">
        <v>0.132446507331029</v>
      </c>
      <c r="I17" s="16" t="n">
        <v>0.0138223786576431</v>
      </c>
      <c r="J17" s="24" t="n">
        <v>661455.872</v>
      </c>
    </row>
    <row r="18" customFormat="false" ht="15" hidden="false" customHeight="false" outlineLevel="0" collapsed="false">
      <c r="A18" s="17" t="s">
        <v>138</v>
      </c>
      <c r="B18" s="17" t="s">
        <v>139</v>
      </c>
      <c r="C18" s="17" t="s">
        <v>79</v>
      </c>
      <c r="D18" s="18" t="n">
        <v>258.54</v>
      </c>
      <c r="E18" s="34" t="n">
        <v>3938.41</v>
      </c>
      <c r="F18" s="34" t="n">
        <v>4526.07</v>
      </c>
      <c r="G18" s="34" t="n">
        <v>587.66</v>
      </c>
      <c r="H18" s="19" t="n">
        <v>0.149212499460442</v>
      </c>
      <c r="I18" s="19" t="n">
        <v>0.0061311921847737</v>
      </c>
      <c r="J18" s="26" t="n">
        <v>1018236.5214</v>
      </c>
    </row>
    <row r="19" customFormat="false" ht="15" hidden="false" customHeight="false" outlineLevel="0" collapsed="false">
      <c r="A19" s="14" t="s">
        <v>140</v>
      </c>
      <c r="B19" s="14" t="s">
        <v>141</v>
      </c>
      <c r="C19" s="14" t="s">
        <v>79</v>
      </c>
      <c r="D19" s="15" t="n">
        <v>547.35</v>
      </c>
      <c r="E19" s="33" t="n">
        <v>4986.87</v>
      </c>
      <c r="F19" s="33" t="n">
        <v>5787.4</v>
      </c>
      <c r="G19" s="33" t="n">
        <v>800.53</v>
      </c>
      <c r="H19" s="16" t="n">
        <v>0.160527545334047</v>
      </c>
      <c r="I19" s="47" t="n">
        <v>-0.023237639334758</v>
      </c>
      <c r="J19" s="24" t="n">
        <v>2729563.2945</v>
      </c>
    </row>
    <row r="20" customFormat="false" ht="15" hidden="false" customHeight="false" outlineLevel="0" collapsed="false">
      <c r="A20" s="17" t="s">
        <v>142</v>
      </c>
      <c r="B20" s="17" t="s">
        <v>143</v>
      </c>
      <c r="C20" s="17" t="s">
        <v>79</v>
      </c>
      <c r="D20" s="18" t="n">
        <v>422.49</v>
      </c>
      <c r="E20" s="34" t="n">
        <v>4899.74</v>
      </c>
      <c r="F20" s="34" t="n">
        <v>5522.41</v>
      </c>
      <c r="G20" s="34" t="n">
        <v>622.67</v>
      </c>
      <c r="H20" s="19" t="n">
        <v>0.127082253344055</v>
      </c>
      <c r="I20" s="19" t="n">
        <v>0.0187501559394205</v>
      </c>
      <c r="J20" s="26" t="n">
        <v>2070091.1526</v>
      </c>
    </row>
    <row r="21" customFormat="false" ht="15" hidden="false" customHeight="false" outlineLevel="0" collapsed="false">
      <c r="A21" s="14" t="s">
        <v>100</v>
      </c>
      <c r="B21" s="14" t="s">
        <v>101</v>
      </c>
      <c r="C21" s="14" t="s">
        <v>77</v>
      </c>
      <c r="D21" s="15" t="n">
        <v>202.05</v>
      </c>
      <c r="E21" s="33" t="n">
        <v>8287.78</v>
      </c>
      <c r="F21" s="33" t="n">
        <v>8828.24</v>
      </c>
      <c r="G21" s="33" t="n">
        <v>540.459999999999</v>
      </c>
      <c r="H21" s="16" t="n">
        <v>0.0652116730897779</v>
      </c>
      <c r="I21" s="16" t="n">
        <v>3.13724733092914E-005</v>
      </c>
      <c r="J21" s="24" t="n">
        <v>1674545.949</v>
      </c>
    </row>
    <row r="22" customFormat="false" ht="15" hidden="false" customHeight="false" outlineLevel="0" collapsed="false">
      <c r="A22" s="17" t="s">
        <v>144</v>
      </c>
      <c r="B22" s="17" t="s">
        <v>145</v>
      </c>
      <c r="C22" s="17" t="s">
        <v>77</v>
      </c>
      <c r="D22" s="18" t="n">
        <v>483.25</v>
      </c>
      <c r="E22" s="34" t="n">
        <v>8025.79</v>
      </c>
      <c r="F22" s="34" t="n">
        <v>8562.57</v>
      </c>
      <c r="G22" s="34" t="n">
        <v>536.78</v>
      </c>
      <c r="H22" s="19" t="n">
        <v>0.0668818895086963</v>
      </c>
      <c r="I22" s="19" t="n">
        <v>0.00990299593939415</v>
      </c>
      <c r="J22" s="26" t="n">
        <v>3878463.0175</v>
      </c>
    </row>
    <row r="23" customFormat="false" ht="15" hidden="false" customHeight="false" outlineLevel="0" collapsed="false">
      <c r="A23" s="14" t="s">
        <v>102</v>
      </c>
      <c r="B23" s="14" t="s">
        <v>103</v>
      </c>
      <c r="C23" s="14" t="s">
        <v>77</v>
      </c>
      <c r="D23" s="15" t="n">
        <v>426.46</v>
      </c>
      <c r="E23" s="33" t="n">
        <v>7475.43</v>
      </c>
      <c r="F23" s="33" t="n">
        <v>8159.16</v>
      </c>
      <c r="G23" s="33" t="n">
        <v>683.73</v>
      </c>
      <c r="H23" s="16" t="n">
        <v>0.0914636348678269</v>
      </c>
      <c r="I23" s="16" t="n">
        <v>-0.0011744710871674</v>
      </c>
      <c r="J23" s="24" t="n">
        <v>3187971.8778</v>
      </c>
    </row>
    <row r="24" customFormat="false" ht="15" hidden="false" customHeight="false" outlineLevel="0" collapsed="false">
      <c r="A24" s="17" t="s">
        <v>104</v>
      </c>
      <c r="B24" s="17" t="s">
        <v>105</v>
      </c>
      <c r="C24" s="17" t="s">
        <v>77</v>
      </c>
      <c r="D24" s="18" t="n">
        <v>866.94</v>
      </c>
      <c r="E24" s="34" t="n">
        <v>3905.7</v>
      </c>
      <c r="F24" s="34" t="n">
        <v>4176.15</v>
      </c>
      <c r="G24" s="34" t="n">
        <v>270.45</v>
      </c>
      <c r="H24" s="19" t="n">
        <v>0.0692449496889162</v>
      </c>
      <c r="I24" s="19" t="n">
        <v>-0.00192169108815757</v>
      </c>
      <c r="J24" s="26" t="n">
        <v>3386007.558</v>
      </c>
    </row>
    <row r="25" customFormat="false" ht="15" hidden="false" customHeight="false" outlineLevel="0" collapsed="false">
      <c r="A25" s="14" t="s">
        <v>106</v>
      </c>
      <c r="B25" s="14" t="s">
        <v>107</v>
      </c>
      <c r="C25" s="14" t="s">
        <v>77</v>
      </c>
      <c r="D25" s="15" t="n">
        <v>131.54</v>
      </c>
      <c r="E25" s="33" t="n">
        <v>6889.55</v>
      </c>
      <c r="F25" s="33" t="n">
        <v>7434.1</v>
      </c>
      <c r="G25" s="33" t="n">
        <v>544.55</v>
      </c>
      <c r="H25" s="16" t="n">
        <v>0.0790399953552845</v>
      </c>
      <c r="I25" s="16" t="n">
        <v>0.00623791413265098</v>
      </c>
      <c r="J25" s="24" t="n">
        <v>906251.407</v>
      </c>
    </row>
    <row r="26" customFormat="false" ht="15" hidden="false" customHeight="false" outlineLevel="0" collapsed="false">
      <c r="A26" s="17" t="s">
        <v>108</v>
      </c>
      <c r="B26" s="17" t="s">
        <v>109</v>
      </c>
      <c r="C26" s="17" t="s">
        <v>77</v>
      </c>
      <c r="D26" s="18" t="n">
        <v>636.33</v>
      </c>
      <c r="E26" s="34" t="n">
        <v>2959.42</v>
      </c>
      <c r="F26" s="34" t="n">
        <v>3244.26</v>
      </c>
      <c r="G26" s="34" t="n">
        <v>284.84</v>
      </c>
      <c r="H26" s="19" t="n">
        <v>0.0962485892505964</v>
      </c>
      <c r="I26" s="19" t="n">
        <v>0.00254071926068457</v>
      </c>
      <c r="J26" s="26" t="n">
        <v>1883167.7286</v>
      </c>
    </row>
    <row r="27" customFormat="false" ht="15" hidden="false" customHeight="false" outlineLevel="0" collapsed="false">
      <c r="A27" s="14" t="s">
        <v>110</v>
      </c>
      <c r="B27" s="14" t="s">
        <v>111</v>
      </c>
      <c r="C27" s="14" t="s">
        <v>77</v>
      </c>
      <c r="D27" s="15" t="n">
        <v>320.83</v>
      </c>
      <c r="E27" s="33" t="n">
        <v>2160.97</v>
      </c>
      <c r="F27" s="33" t="n">
        <v>2319.26</v>
      </c>
      <c r="G27" s="33" t="n">
        <v>158.29</v>
      </c>
      <c r="H27" s="16" t="n">
        <v>0.0732495129502031</v>
      </c>
      <c r="I27" s="16" t="n">
        <v>0.0110889124911686</v>
      </c>
      <c r="J27" s="24" t="n">
        <v>693304.0051</v>
      </c>
    </row>
    <row r="28" customFormat="false" ht="15" hidden="false" customHeight="false" outlineLevel="0" collapsed="false">
      <c r="A28" s="17" t="s">
        <v>112</v>
      </c>
      <c r="B28" s="17" t="s">
        <v>113</v>
      </c>
      <c r="C28" s="17" t="s">
        <v>81</v>
      </c>
      <c r="D28" s="18" t="n">
        <v>9417.97</v>
      </c>
      <c r="E28" s="34" t="n">
        <v>293.04</v>
      </c>
      <c r="F28" s="34" t="n">
        <v>365.76</v>
      </c>
      <c r="G28" s="34" t="n">
        <v>72.72</v>
      </c>
      <c r="H28" s="19" t="n">
        <v>0.248157248157248</v>
      </c>
      <c r="I28" s="19" t="n">
        <v>0.0187026350552736</v>
      </c>
      <c r="J28" s="26" t="n">
        <v>2759841.9288</v>
      </c>
    </row>
    <row r="29" customFormat="false" ht="15" hidden="false" customHeight="false" outlineLevel="0" collapsed="false">
      <c r="A29" s="14" t="s">
        <v>146</v>
      </c>
      <c r="B29" s="14" t="s">
        <v>147</v>
      </c>
      <c r="C29" s="14" t="s">
        <v>81</v>
      </c>
      <c r="D29" s="15" t="n">
        <v>2239.29</v>
      </c>
      <c r="E29" s="33" t="n">
        <v>272.81</v>
      </c>
      <c r="F29" s="33" t="n">
        <v>328.35</v>
      </c>
      <c r="G29" s="33" t="n">
        <v>55.54</v>
      </c>
      <c r="H29" s="16" t="n">
        <v>0.203584912576519</v>
      </c>
      <c r="I29" s="46" t="n">
        <v>0.0240615615615617</v>
      </c>
      <c r="J29" s="24" t="n">
        <v>610900.7049</v>
      </c>
    </row>
    <row r="30" customFormat="false" ht="15" hidden="false" customHeight="false" outlineLevel="0" collapsed="false">
      <c r="A30" s="17" t="s">
        <v>148</v>
      </c>
      <c r="B30" s="17" t="s">
        <v>149</v>
      </c>
      <c r="C30" s="17" t="s">
        <v>81</v>
      </c>
      <c r="D30" s="18" t="n">
        <v>6068.24</v>
      </c>
      <c r="E30" s="34" t="n">
        <v>292.65</v>
      </c>
      <c r="F30" s="34" t="n">
        <v>353.27</v>
      </c>
      <c r="G30" s="34" t="n">
        <v>60.62</v>
      </c>
      <c r="H30" s="19" t="n">
        <v>0.20714163676747</v>
      </c>
      <c r="I30" s="48" t="n">
        <v>0.026986243683324</v>
      </c>
      <c r="J30" s="26" t="n">
        <v>1775870.436</v>
      </c>
    </row>
    <row r="31" customFormat="false" ht="15" hidden="false" customHeight="false" outlineLevel="0" collapsed="false">
      <c r="A31" s="14" t="s">
        <v>114</v>
      </c>
      <c r="B31" s="14" t="s">
        <v>115</v>
      </c>
      <c r="C31" s="14" t="s">
        <v>81</v>
      </c>
      <c r="D31" s="15" t="n">
        <v>10507.81</v>
      </c>
      <c r="E31" s="33" t="n">
        <v>291.92</v>
      </c>
      <c r="F31" s="33" t="n">
        <v>374.39</v>
      </c>
      <c r="G31" s="33" t="n">
        <v>82.47</v>
      </c>
      <c r="H31" s="16" t="n">
        <v>0.28250890654974</v>
      </c>
      <c r="I31" s="16" t="n">
        <v>0.00748921484037969</v>
      </c>
      <c r="J31" s="24" t="n">
        <v>3067439.8952</v>
      </c>
    </row>
    <row r="32" customFormat="false" ht="15" hidden="false" customHeight="false" outlineLevel="0" collapsed="false">
      <c r="A32" s="17" t="s">
        <v>150</v>
      </c>
      <c r="B32" s="17" t="s">
        <v>151</v>
      </c>
      <c r="C32" s="17" t="s">
        <v>81</v>
      </c>
      <c r="D32" s="18" t="n">
        <v>2605.15</v>
      </c>
      <c r="E32" s="34" t="n">
        <v>335.1</v>
      </c>
      <c r="F32" s="34" t="n">
        <v>405.22</v>
      </c>
      <c r="G32" s="34" t="n">
        <v>70.12</v>
      </c>
      <c r="H32" s="19" t="n">
        <v>0.209250969859743</v>
      </c>
      <c r="I32" s="48" t="n">
        <v>0.02961961531371</v>
      </c>
      <c r="J32" s="26" t="n">
        <v>872985.765</v>
      </c>
    </row>
    <row r="33" customFormat="false" ht="15" hidden="false" customHeight="false" outlineLevel="0" collapsed="false">
      <c r="A33" s="14" t="s">
        <v>152</v>
      </c>
      <c r="B33" s="14" t="s">
        <v>153</v>
      </c>
      <c r="C33" s="14" t="s">
        <v>81</v>
      </c>
      <c r="D33" s="15" t="n">
        <v>2301.26</v>
      </c>
      <c r="E33" s="33" t="n">
        <v>317.54</v>
      </c>
      <c r="F33" s="33" t="n">
        <v>371.44</v>
      </c>
      <c r="G33" s="33" t="n">
        <v>53.9</v>
      </c>
      <c r="H33" s="16" t="n">
        <v>0.169742394658941</v>
      </c>
      <c r="I33" s="16" t="n">
        <v>0.0169415532425941</v>
      </c>
      <c r="J33" s="24" t="n">
        <v>730742.1004</v>
      </c>
    </row>
    <row r="34" customFormat="false" ht="15" hidden="false" customHeight="false" outlineLevel="0" collapsed="false">
      <c r="A34" s="17" t="s">
        <v>116</v>
      </c>
      <c r="B34" s="17" t="s">
        <v>117</v>
      </c>
      <c r="C34" s="17" t="s">
        <v>81</v>
      </c>
      <c r="D34" s="18" t="n">
        <v>906.4</v>
      </c>
      <c r="E34" s="34" t="n">
        <v>384.67</v>
      </c>
      <c r="F34" s="34" t="n">
        <v>455.21</v>
      </c>
      <c r="G34" s="34" t="n">
        <v>70.54</v>
      </c>
      <c r="H34" s="19" t="n">
        <v>0.183377960329633</v>
      </c>
      <c r="I34" s="19" t="n">
        <v>0.00459638035047398</v>
      </c>
      <c r="J34" s="26" t="n">
        <v>348664.888</v>
      </c>
    </row>
    <row r="35" customFormat="false" ht="15" hidden="false" customHeight="false" outlineLevel="0" collapsed="false">
      <c r="A35" s="14" t="s">
        <v>154</v>
      </c>
      <c r="B35" s="14" t="s">
        <v>155</v>
      </c>
      <c r="C35" s="14" t="s">
        <v>81</v>
      </c>
      <c r="D35" s="15" t="n">
        <v>1141.92</v>
      </c>
      <c r="E35" s="33" t="n">
        <v>208.33</v>
      </c>
      <c r="F35" s="33" t="n">
        <v>256.34</v>
      </c>
      <c r="G35" s="33" t="n">
        <v>48.01</v>
      </c>
      <c r="H35" s="16" t="n">
        <v>0.230451687226995</v>
      </c>
      <c r="I35" s="46" t="n">
        <v>0.0318474492322933</v>
      </c>
      <c r="J35" s="24" t="n">
        <v>237896.1936</v>
      </c>
    </row>
    <row r="36" customFormat="false" ht="15" hidden="false" customHeight="false" outlineLevel="0" collapsed="false">
      <c r="A36" s="17" t="s">
        <v>118</v>
      </c>
      <c r="B36" s="17" t="s">
        <v>119</v>
      </c>
      <c r="C36" s="17" t="s">
        <v>81</v>
      </c>
      <c r="D36" s="18" t="n">
        <v>1071.01</v>
      </c>
      <c r="E36" s="34" t="n">
        <v>307.65</v>
      </c>
      <c r="F36" s="34" t="n">
        <v>393.53</v>
      </c>
      <c r="G36" s="34" t="n">
        <v>85.88</v>
      </c>
      <c r="H36" s="19" t="n">
        <v>0.279148382902649</v>
      </c>
      <c r="I36" s="19" t="n">
        <v>-0.007132253275673</v>
      </c>
      <c r="J36" s="26" t="n">
        <v>329496.2265</v>
      </c>
    </row>
    <row r="37" customFormat="false" ht="15" hidden="false" customHeight="false" outlineLevel="0" collapsed="false">
      <c r="A37" s="14" t="s">
        <v>120</v>
      </c>
      <c r="B37" s="14" t="s">
        <v>121</v>
      </c>
      <c r="C37" s="14" t="s">
        <v>80</v>
      </c>
      <c r="D37" s="15" t="n">
        <v>921.23</v>
      </c>
      <c r="E37" s="33" t="n">
        <v>1093.54</v>
      </c>
      <c r="F37" s="33" t="n">
        <v>1331.05</v>
      </c>
      <c r="G37" s="33" t="n">
        <v>237.51</v>
      </c>
      <c r="H37" s="16" t="n">
        <v>0.217193701190629</v>
      </c>
      <c r="I37" s="16" t="n">
        <v>-0.00228093865187402</v>
      </c>
      <c r="J37" s="24" t="n">
        <v>1007401.8542</v>
      </c>
    </row>
    <row r="38" customFormat="false" ht="15" hidden="false" customHeight="false" outlineLevel="0" collapsed="false">
      <c r="A38" s="17" t="s">
        <v>122</v>
      </c>
      <c r="B38" s="17" t="s">
        <v>123</v>
      </c>
      <c r="C38" s="17" t="s">
        <v>80</v>
      </c>
      <c r="D38" s="18" t="n">
        <v>407.88</v>
      </c>
      <c r="E38" s="34" t="n">
        <v>908.5</v>
      </c>
      <c r="F38" s="34" t="n">
        <v>1063.81</v>
      </c>
      <c r="G38" s="34" t="n">
        <v>155.31</v>
      </c>
      <c r="H38" s="19" t="n">
        <v>0.17095211887727</v>
      </c>
      <c r="I38" s="19" t="n">
        <v>0.00215101207876019</v>
      </c>
      <c r="J38" s="26" t="n">
        <v>370558.98</v>
      </c>
    </row>
    <row r="39" customFormat="false" ht="15" hidden="false" customHeight="false" outlineLevel="0" collapsed="false">
      <c r="A39" s="14" t="s">
        <v>124</v>
      </c>
      <c r="B39" s="14" t="s">
        <v>125</v>
      </c>
      <c r="C39" s="14" t="s">
        <v>80</v>
      </c>
      <c r="D39" s="15" t="n">
        <v>411.17</v>
      </c>
      <c r="E39" s="33" t="n">
        <v>1506.69</v>
      </c>
      <c r="F39" s="33" t="n">
        <v>1782.54</v>
      </c>
      <c r="G39" s="33" t="n">
        <v>275.85</v>
      </c>
      <c r="H39" s="16" t="n">
        <v>0.183083447822711</v>
      </c>
      <c r="I39" s="47" t="n">
        <v>-0.0239622201492537</v>
      </c>
      <c r="J39" s="24" t="n">
        <v>619505.7273</v>
      </c>
    </row>
    <row r="40" customFormat="false" ht="15" hidden="false" customHeight="false" outlineLevel="0" collapsed="false">
      <c r="A40" s="17" t="s">
        <v>126</v>
      </c>
      <c r="B40" s="17" t="s">
        <v>127</v>
      </c>
      <c r="C40" s="17" t="s">
        <v>80</v>
      </c>
      <c r="D40" s="18" t="n">
        <v>145.43</v>
      </c>
      <c r="E40" s="34" t="n">
        <v>1177.27</v>
      </c>
      <c r="F40" s="34" t="n">
        <v>1464.73</v>
      </c>
      <c r="G40" s="34" t="n">
        <v>287.46</v>
      </c>
      <c r="H40" s="19" t="n">
        <v>0.24417508303108</v>
      </c>
      <c r="I40" s="49" t="n">
        <v>-0.0223877498484509</v>
      </c>
      <c r="J40" s="26" t="n">
        <v>171210.3761</v>
      </c>
    </row>
    <row r="41" customFormat="false" ht="15" hidden="false" customHeight="false" outlineLevel="0" collapsed="false">
      <c r="A41" s="14" t="s">
        <v>128</v>
      </c>
      <c r="B41" s="14" t="s">
        <v>129</v>
      </c>
      <c r="C41" s="14" t="s">
        <v>80</v>
      </c>
      <c r="D41" s="15" t="n">
        <v>2047.77</v>
      </c>
      <c r="E41" s="33" t="n">
        <v>381.01</v>
      </c>
      <c r="F41" s="33" t="n">
        <v>464.11</v>
      </c>
      <c r="G41" s="33" t="n">
        <v>83.1</v>
      </c>
      <c r="H41" s="16" t="n">
        <v>0.218104511692607</v>
      </c>
      <c r="I41" s="16" t="n">
        <v>0.00703052728954663</v>
      </c>
      <c r="J41" s="24" t="n">
        <v>780220.8477</v>
      </c>
    </row>
    <row r="42" customFormat="false" ht="15" hidden="false" customHeight="false" outlineLevel="0" collapsed="false">
      <c r="A42" s="17" t="s">
        <v>156</v>
      </c>
      <c r="B42" s="17" t="s">
        <v>157</v>
      </c>
      <c r="C42" s="17" t="s">
        <v>80</v>
      </c>
      <c r="D42" s="18" t="n">
        <v>1255.72</v>
      </c>
      <c r="E42" s="34" t="n">
        <v>1050.58</v>
      </c>
      <c r="F42" s="34" t="n">
        <v>1265.76</v>
      </c>
      <c r="G42" s="34" t="n">
        <v>215.18</v>
      </c>
      <c r="H42" s="19" t="n">
        <v>0.204820194559196</v>
      </c>
      <c r="I42" s="19" t="n">
        <v>-0.00251606961442429</v>
      </c>
      <c r="J42" s="26" t="n">
        <v>1319234.3176</v>
      </c>
    </row>
    <row r="43" customFormat="false" ht="15" hidden="false" customHeight="false" outlineLevel="0" collapsed="false">
      <c r="A43" s="14" t="s">
        <v>158</v>
      </c>
      <c r="B43" s="14" t="s">
        <v>159</v>
      </c>
      <c r="C43" s="14" t="s">
        <v>80</v>
      </c>
      <c r="D43" s="15" t="n">
        <v>293.16</v>
      </c>
      <c r="E43" s="33" t="n">
        <v>697.9</v>
      </c>
      <c r="F43" s="33" t="n">
        <v>794.89</v>
      </c>
      <c r="G43" s="33" t="n">
        <v>96.99</v>
      </c>
      <c r="H43" s="16" t="n">
        <v>0.1389740650523</v>
      </c>
      <c r="I43" s="16" t="n">
        <v>-0.0107865232243342</v>
      </c>
      <c r="J43" s="24" t="n">
        <v>204596.364</v>
      </c>
    </row>
    <row r="44" customFormat="false" ht="15" hidden="false" customHeight="false" outlineLevel="0" collapsed="false">
      <c r="A44" s="17" t="s">
        <v>130</v>
      </c>
      <c r="B44" s="17" t="s">
        <v>131</v>
      </c>
      <c r="C44" s="17" t="s">
        <v>80</v>
      </c>
      <c r="D44" s="18" t="n">
        <v>398.88</v>
      </c>
      <c r="E44" s="34" t="n">
        <v>628.56</v>
      </c>
      <c r="F44" s="34" t="n">
        <v>729.49</v>
      </c>
      <c r="G44" s="34" t="n">
        <v>100.93</v>
      </c>
      <c r="H44" s="19" t="n">
        <v>0.160573374061347</v>
      </c>
      <c r="I44" s="19" t="n">
        <v>0.000286450873675085</v>
      </c>
      <c r="J44" s="26" t="n">
        <v>250720.0128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21"/>
    <col collapsed="false" customWidth="true" hidden="false" outlineLevel="0" max="13" min="13" style="0" width="12"/>
    <col collapsed="false" customWidth="true" hidden="false" outlineLevel="0" max="15" min="14" style="0" width="40"/>
  </cols>
  <sheetData>
    <row r="1" customFormat="false" ht="19.7" hidden="false" customHeight="false" outlineLevel="0" collapsed="false">
      <c r="A1" s="4" t="s">
        <v>178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6" t="s">
        <v>179</v>
      </c>
    </row>
    <row r="4" customFormat="false" ht="15" hidden="false" customHeight="false" outlineLevel="0" collapsed="false">
      <c r="A4" s="13" t="s">
        <v>45</v>
      </c>
      <c r="B4" s="13" t="s">
        <v>46</v>
      </c>
      <c r="C4" s="13" t="s">
        <v>84</v>
      </c>
      <c r="D4" s="13" t="s">
        <v>85</v>
      </c>
      <c r="E4" s="13" t="s">
        <v>74</v>
      </c>
      <c r="F4" s="13" t="s">
        <v>47</v>
      </c>
      <c r="G4" s="13" t="s">
        <v>48</v>
      </c>
      <c r="H4" s="13" t="s">
        <v>49</v>
      </c>
      <c r="I4" s="13" t="s">
        <v>180</v>
      </c>
      <c r="J4" s="13" t="s">
        <v>181</v>
      </c>
      <c r="K4" s="13" t="s">
        <v>182</v>
      </c>
      <c r="L4" s="13" t="s">
        <v>183</v>
      </c>
      <c r="M4" s="13" t="s">
        <v>184</v>
      </c>
      <c r="N4" s="13" t="s">
        <v>185</v>
      </c>
      <c r="O4" s="13" t="s">
        <v>186</v>
      </c>
    </row>
    <row r="5" customFormat="false" ht="35.05" hidden="false" customHeight="false" outlineLevel="0" collapsed="false">
      <c r="A5" s="36" t="s">
        <v>56</v>
      </c>
      <c r="B5" s="36" t="s">
        <v>57</v>
      </c>
      <c r="C5" s="36" t="s">
        <v>92</v>
      </c>
      <c r="D5" s="36" t="s">
        <v>93</v>
      </c>
      <c r="E5" s="36" t="s">
        <v>78</v>
      </c>
      <c r="F5" s="37" t="n">
        <v>292.15</v>
      </c>
      <c r="G5" s="39" t="n">
        <v>418451.51</v>
      </c>
      <c r="H5" s="39" t="n">
        <v>503429.77</v>
      </c>
      <c r="I5" s="39" t="n">
        <v>84978.26</v>
      </c>
      <c r="J5" s="37" t="n">
        <v>41.17</v>
      </c>
      <c r="K5" s="37" t="n">
        <v>167.61</v>
      </c>
      <c r="L5" s="38" t="n">
        <v>0.573712134177649</v>
      </c>
      <c r="M5" s="50" t="n">
        <v>5</v>
      </c>
      <c r="N5" s="36" t="s">
        <v>187</v>
      </c>
      <c r="O5" s="36" t="s">
        <v>188</v>
      </c>
    </row>
    <row r="6" customFormat="false" ht="35.05" hidden="false" customHeight="false" outlineLevel="0" collapsed="false">
      <c r="A6" s="36" t="s">
        <v>56</v>
      </c>
      <c r="B6" s="36" t="s">
        <v>57</v>
      </c>
      <c r="C6" s="36" t="s">
        <v>94</v>
      </c>
      <c r="D6" s="36" t="s">
        <v>95</v>
      </c>
      <c r="E6" s="36" t="s">
        <v>78</v>
      </c>
      <c r="F6" s="37" t="n">
        <v>445.75</v>
      </c>
      <c r="G6" s="39" t="n">
        <v>611865.05</v>
      </c>
      <c r="H6" s="39" t="n">
        <v>745050.52</v>
      </c>
      <c r="I6" s="39" t="n">
        <v>133185.47</v>
      </c>
      <c r="J6" s="37" t="n">
        <v>65.08</v>
      </c>
      <c r="K6" s="37" t="n">
        <v>250.11</v>
      </c>
      <c r="L6" s="38" t="n">
        <v>0.561099270891756</v>
      </c>
      <c r="M6" s="50" t="n">
        <v>5</v>
      </c>
      <c r="N6" s="36" t="s">
        <v>189</v>
      </c>
      <c r="O6" s="36" t="s">
        <v>188</v>
      </c>
    </row>
    <row r="7" customFormat="false" ht="35.05" hidden="false" customHeight="false" outlineLevel="0" collapsed="false">
      <c r="A7" s="36" t="s">
        <v>58</v>
      </c>
      <c r="B7" s="36" t="s">
        <v>59</v>
      </c>
      <c r="C7" s="36" t="s">
        <v>88</v>
      </c>
      <c r="D7" s="36" t="s">
        <v>89</v>
      </c>
      <c r="E7" s="36" t="s">
        <v>78</v>
      </c>
      <c r="F7" s="37" t="n">
        <v>1401.66</v>
      </c>
      <c r="G7" s="39" t="n">
        <v>2223677.31</v>
      </c>
      <c r="H7" s="39" t="n">
        <v>2673841.52</v>
      </c>
      <c r="I7" s="39" t="n">
        <v>450164.21</v>
      </c>
      <c r="J7" s="37" t="n">
        <v>234.02</v>
      </c>
      <c r="K7" s="37" t="n">
        <v>664.78</v>
      </c>
      <c r="L7" s="38" t="n">
        <v>0.474280495983334</v>
      </c>
      <c r="M7" s="50" t="n">
        <v>5</v>
      </c>
      <c r="N7" s="36" t="s">
        <v>190</v>
      </c>
      <c r="O7" s="36" t="s">
        <v>188</v>
      </c>
    </row>
    <row r="8" customFormat="false" ht="35.05" hidden="false" customHeight="false" outlineLevel="0" collapsed="false">
      <c r="A8" s="36" t="s">
        <v>58</v>
      </c>
      <c r="B8" s="36" t="s">
        <v>59</v>
      </c>
      <c r="C8" s="36" t="s">
        <v>142</v>
      </c>
      <c r="D8" s="36" t="s">
        <v>143</v>
      </c>
      <c r="E8" s="36" t="s">
        <v>79</v>
      </c>
      <c r="F8" s="37" t="n">
        <v>337.22</v>
      </c>
      <c r="G8" s="39" t="n">
        <v>1645844.68</v>
      </c>
      <c r="H8" s="39" t="n">
        <v>1862268.74</v>
      </c>
      <c r="I8" s="39" t="n">
        <v>216424.06</v>
      </c>
      <c r="J8" s="37" t="n">
        <v>52.76</v>
      </c>
      <c r="K8" s="37" t="n">
        <v>218.32</v>
      </c>
      <c r="L8" s="38" t="n">
        <v>0.647411185576182</v>
      </c>
      <c r="M8" s="50" t="n">
        <v>5</v>
      </c>
      <c r="N8" s="36" t="s">
        <v>191</v>
      </c>
      <c r="O8" s="36" t="s">
        <v>188</v>
      </c>
    </row>
    <row r="9" customFormat="false" ht="35.05" hidden="false" customHeight="false" outlineLevel="0" collapsed="false">
      <c r="A9" s="36" t="s">
        <v>58</v>
      </c>
      <c r="B9" s="36" t="s">
        <v>59</v>
      </c>
      <c r="C9" s="36" t="s">
        <v>98</v>
      </c>
      <c r="D9" s="36" t="s">
        <v>99</v>
      </c>
      <c r="E9" s="36" t="s">
        <v>78</v>
      </c>
      <c r="F9" s="37" t="n">
        <v>366.59</v>
      </c>
      <c r="G9" s="39" t="n">
        <v>515740.13</v>
      </c>
      <c r="H9" s="39" t="n">
        <v>629093.05</v>
      </c>
      <c r="I9" s="39" t="n">
        <v>113352.92</v>
      </c>
      <c r="J9" s="37" t="n">
        <v>76.89</v>
      </c>
      <c r="K9" s="37" t="n">
        <v>76.77</v>
      </c>
      <c r="L9" s="38" t="n">
        <v>0.209416514362094</v>
      </c>
      <c r="M9" s="50" t="n">
        <v>5</v>
      </c>
      <c r="N9" s="36" t="s">
        <v>192</v>
      </c>
      <c r="O9" s="36" t="s">
        <v>188</v>
      </c>
    </row>
    <row r="10" customFormat="false" ht="35.05" hidden="false" customHeight="false" outlineLevel="0" collapsed="false">
      <c r="A10" s="36" t="s">
        <v>60</v>
      </c>
      <c r="B10" s="36" t="s">
        <v>61</v>
      </c>
      <c r="C10" s="36" t="s">
        <v>90</v>
      </c>
      <c r="D10" s="36" t="s">
        <v>91</v>
      </c>
      <c r="E10" s="36" t="s">
        <v>78</v>
      </c>
      <c r="F10" s="37" t="n">
        <v>1092.98</v>
      </c>
      <c r="G10" s="39" t="n">
        <v>1661144.58</v>
      </c>
      <c r="H10" s="39" t="n">
        <v>2038321.91</v>
      </c>
      <c r="I10" s="39" t="n">
        <v>377177.33</v>
      </c>
      <c r="J10" s="37" t="n">
        <v>165.52</v>
      </c>
      <c r="K10" s="37" t="n">
        <v>533.17</v>
      </c>
      <c r="L10" s="38" t="n">
        <v>0.487813134732566</v>
      </c>
      <c r="M10" s="50" t="n">
        <v>5</v>
      </c>
      <c r="N10" s="36" t="s">
        <v>193</v>
      </c>
      <c r="O10" s="36" t="s">
        <v>188</v>
      </c>
    </row>
    <row r="11" customFormat="false" ht="35.05" hidden="false" customHeight="false" outlineLevel="0" collapsed="false">
      <c r="A11" s="36" t="s">
        <v>60</v>
      </c>
      <c r="B11" s="36" t="s">
        <v>61</v>
      </c>
      <c r="C11" s="36" t="s">
        <v>162</v>
      </c>
      <c r="D11" s="36" t="s">
        <v>163</v>
      </c>
      <c r="E11" s="36" t="s">
        <v>79</v>
      </c>
      <c r="F11" s="37" t="n">
        <v>543.67</v>
      </c>
      <c r="G11" s="39" t="n">
        <v>2392756.29</v>
      </c>
      <c r="H11" s="39" t="n">
        <v>2759788.13</v>
      </c>
      <c r="I11" s="39" t="n">
        <v>367031.84</v>
      </c>
      <c r="J11" s="37" t="n">
        <v>69.2</v>
      </c>
      <c r="K11" s="37" t="n">
        <v>343.45</v>
      </c>
      <c r="L11" s="38" t="n">
        <v>0.631725127375062</v>
      </c>
      <c r="M11" s="50" t="n">
        <v>5</v>
      </c>
      <c r="N11" s="36" t="s">
        <v>194</v>
      </c>
      <c r="O11" s="36" t="s">
        <v>188</v>
      </c>
    </row>
    <row r="12" customFormat="false" ht="35.05" hidden="false" customHeight="false" outlineLevel="0" collapsed="false">
      <c r="A12" s="36" t="s">
        <v>60</v>
      </c>
      <c r="B12" s="36" t="s">
        <v>61</v>
      </c>
      <c r="C12" s="36" t="s">
        <v>156</v>
      </c>
      <c r="D12" s="36" t="s">
        <v>157</v>
      </c>
      <c r="E12" s="36" t="s">
        <v>80</v>
      </c>
      <c r="F12" s="37" t="n">
        <v>878.09</v>
      </c>
      <c r="G12" s="39" t="n">
        <v>911632.82</v>
      </c>
      <c r="H12" s="39" t="n">
        <v>1111454.3</v>
      </c>
      <c r="I12" s="39" t="n">
        <v>199821.48</v>
      </c>
      <c r="J12" s="37" t="n">
        <v>76.66</v>
      </c>
      <c r="K12" s="37" t="n">
        <v>548.2</v>
      </c>
      <c r="L12" s="38" t="n">
        <v>0.624309581022447</v>
      </c>
      <c r="M12" s="50" t="n">
        <v>5</v>
      </c>
      <c r="N12" s="36" t="s">
        <v>195</v>
      </c>
      <c r="O12" s="36" t="s">
        <v>188</v>
      </c>
    </row>
    <row r="13" customFormat="false" ht="35.05" hidden="false" customHeight="false" outlineLevel="0" collapsed="false">
      <c r="A13" s="36" t="s">
        <v>60</v>
      </c>
      <c r="B13" s="36" t="s">
        <v>61</v>
      </c>
      <c r="C13" s="36" t="s">
        <v>140</v>
      </c>
      <c r="D13" s="36" t="s">
        <v>141</v>
      </c>
      <c r="E13" s="36" t="s">
        <v>79</v>
      </c>
      <c r="F13" s="37" t="n">
        <v>347.56</v>
      </c>
      <c r="G13" s="39" t="n">
        <v>1735082.98</v>
      </c>
      <c r="H13" s="39" t="n">
        <v>2011470.39</v>
      </c>
      <c r="I13" s="39" t="n">
        <v>276387.41</v>
      </c>
      <c r="J13" s="37" t="n">
        <v>76.17</v>
      </c>
      <c r="K13" s="37" t="n">
        <v>131.77</v>
      </c>
      <c r="L13" s="38" t="n">
        <v>0.379128783519392</v>
      </c>
      <c r="M13" s="50" t="n">
        <v>5</v>
      </c>
      <c r="N13" s="36" t="s">
        <v>196</v>
      </c>
      <c r="O13" s="36" t="s">
        <v>188</v>
      </c>
    </row>
    <row r="14" customFormat="false" ht="35.05" hidden="false" customHeight="false" outlineLevel="0" collapsed="false">
      <c r="A14" s="36" t="s">
        <v>70</v>
      </c>
      <c r="B14" s="36" t="s">
        <v>71</v>
      </c>
      <c r="C14" s="36" t="s">
        <v>98</v>
      </c>
      <c r="D14" s="36" t="s">
        <v>99</v>
      </c>
      <c r="E14" s="36" t="s">
        <v>78</v>
      </c>
      <c r="F14" s="37" t="n">
        <v>314.89</v>
      </c>
      <c r="G14" s="39" t="n">
        <v>438242.12</v>
      </c>
      <c r="H14" s="39" t="n">
        <v>540372.38</v>
      </c>
      <c r="I14" s="39" t="n">
        <v>102130.26</v>
      </c>
      <c r="J14" s="37" t="n">
        <v>58.9</v>
      </c>
      <c r="K14" s="37" t="n">
        <v>177.49</v>
      </c>
      <c r="L14" s="38" t="n">
        <v>0.563657150115914</v>
      </c>
      <c r="M14" s="50" t="n">
        <v>5</v>
      </c>
      <c r="N14" s="36" t="s">
        <v>197</v>
      </c>
      <c r="O14" s="36" t="s">
        <v>188</v>
      </c>
    </row>
    <row r="15" customFormat="false" ht="35.05" hidden="false" customHeight="false" outlineLevel="0" collapsed="false">
      <c r="A15" s="36" t="s">
        <v>68</v>
      </c>
      <c r="B15" s="36" t="s">
        <v>69</v>
      </c>
      <c r="C15" s="36" t="s">
        <v>124</v>
      </c>
      <c r="D15" s="36" t="s">
        <v>125</v>
      </c>
      <c r="E15" s="36" t="s">
        <v>80</v>
      </c>
      <c r="F15" s="37" t="n">
        <v>187.78</v>
      </c>
      <c r="G15" s="39" t="n">
        <v>285013.24</v>
      </c>
      <c r="H15" s="39" t="n">
        <v>334724.6</v>
      </c>
      <c r="I15" s="39" t="n">
        <v>49711.36</v>
      </c>
      <c r="J15" s="37" t="n">
        <v>54.93</v>
      </c>
      <c r="K15" s="37" t="n">
        <v>80.74</v>
      </c>
      <c r="L15" s="38" t="n">
        <v>0.429971242943871</v>
      </c>
      <c r="M15" s="50" t="n">
        <v>5</v>
      </c>
      <c r="N15" s="36" t="s">
        <v>198</v>
      </c>
      <c r="O15" s="36" t="s">
        <v>188</v>
      </c>
    </row>
    <row r="16" customFormat="false" ht="35.05" hidden="false" customHeight="false" outlineLevel="0" collapsed="false">
      <c r="A16" s="36" t="s">
        <v>64</v>
      </c>
      <c r="B16" s="36" t="s">
        <v>65</v>
      </c>
      <c r="C16" s="36" t="s">
        <v>86</v>
      </c>
      <c r="D16" s="36" t="s">
        <v>87</v>
      </c>
      <c r="E16" s="36" t="s">
        <v>78</v>
      </c>
      <c r="F16" s="37" t="n">
        <v>982.23</v>
      </c>
      <c r="G16" s="39" t="n">
        <v>1608807.64</v>
      </c>
      <c r="H16" s="39" t="n">
        <v>1922168.32</v>
      </c>
      <c r="I16" s="39" t="n">
        <v>313360.68</v>
      </c>
      <c r="J16" s="37" t="n">
        <v>196.16</v>
      </c>
      <c r="K16" s="37" t="n">
        <v>465.55</v>
      </c>
      <c r="L16" s="38" t="n">
        <v>0.473972491168056</v>
      </c>
      <c r="M16" s="50" t="n">
        <v>5</v>
      </c>
      <c r="N16" s="36" t="s">
        <v>199</v>
      </c>
      <c r="O16" s="36" t="s">
        <v>188</v>
      </c>
    </row>
    <row r="17" customFormat="false" ht="35.05" hidden="false" customHeight="false" outlineLevel="0" collapsed="false">
      <c r="A17" s="36" t="s">
        <v>66</v>
      </c>
      <c r="B17" s="36" t="s">
        <v>67</v>
      </c>
      <c r="C17" s="36" t="s">
        <v>128</v>
      </c>
      <c r="D17" s="36" t="s">
        <v>129</v>
      </c>
      <c r="E17" s="36" t="s">
        <v>80</v>
      </c>
      <c r="F17" s="37" t="n">
        <v>163.28</v>
      </c>
      <c r="G17" s="39" t="n">
        <v>62384.22</v>
      </c>
      <c r="H17" s="39" t="n">
        <v>75779.88</v>
      </c>
      <c r="I17" s="39" t="n">
        <v>13395.66</v>
      </c>
      <c r="J17" s="37" t="n">
        <v>35.58</v>
      </c>
      <c r="K17" s="37" t="n">
        <v>34.25</v>
      </c>
      <c r="L17" s="38" t="n">
        <v>0.209762371386575</v>
      </c>
      <c r="M17" s="50" t="n">
        <v>5</v>
      </c>
      <c r="N17" s="36" t="s">
        <v>200</v>
      </c>
      <c r="O17" s="36" t="s">
        <v>188</v>
      </c>
    </row>
    <row r="18" customFormat="false" ht="35.05" hidden="false" customHeight="false" outlineLevel="0" collapsed="false">
      <c r="A18" s="36" t="s">
        <v>70</v>
      </c>
      <c r="B18" s="36" t="s">
        <v>71</v>
      </c>
      <c r="C18" s="36" t="s">
        <v>164</v>
      </c>
      <c r="D18" s="36" t="s">
        <v>165</v>
      </c>
      <c r="E18" s="36" t="s">
        <v>79</v>
      </c>
      <c r="F18" s="37" t="n">
        <v>43.04</v>
      </c>
      <c r="G18" s="39" t="n">
        <v>223972.44</v>
      </c>
      <c r="H18" s="39" t="n">
        <v>261685.79</v>
      </c>
      <c r="I18" s="39" t="n">
        <v>37713.35</v>
      </c>
      <c r="J18" s="37" t="n">
        <v>5.88</v>
      </c>
      <c r="K18" s="37" t="n">
        <v>22.47</v>
      </c>
      <c r="L18" s="38" t="n">
        <v>0.52207249070632</v>
      </c>
      <c r="M18" s="50" t="n">
        <v>5</v>
      </c>
      <c r="N18" s="36" t="s">
        <v>201</v>
      </c>
      <c r="O18" s="36" t="s">
        <v>188</v>
      </c>
    </row>
    <row r="19" customFormat="false" ht="23.85" hidden="false" customHeight="false" outlineLevel="0" collapsed="false">
      <c r="A19" s="14" t="s">
        <v>56</v>
      </c>
      <c r="B19" s="14" t="s">
        <v>57</v>
      </c>
      <c r="C19" s="14" t="s">
        <v>126</v>
      </c>
      <c r="D19" s="14" t="s">
        <v>127</v>
      </c>
      <c r="E19" s="14" t="s">
        <v>80</v>
      </c>
      <c r="F19" s="15" t="n">
        <v>54.23</v>
      </c>
      <c r="G19" s="24" t="n">
        <v>63633.9</v>
      </c>
      <c r="H19" s="24" t="n">
        <v>79432.2</v>
      </c>
      <c r="I19" s="24" t="n">
        <v>15798.3</v>
      </c>
      <c r="J19" s="15" t="n">
        <v>20.58</v>
      </c>
      <c r="K19" s="15" t="n">
        <v>9.07</v>
      </c>
      <c r="L19" s="16" t="n">
        <v>0.167250599299281</v>
      </c>
      <c r="M19" s="25" t="n">
        <v>2</v>
      </c>
      <c r="N19" s="14" t="s">
        <v>202</v>
      </c>
      <c r="O19" s="14" t="s">
        <v>203</v>
      </c>
    </row>
    <row r="20" customFormat="false" ht="23.85" hidden="false" customHeight="false" outlineLevel="0" collapsed="false">
      <c r="A20" s="17" t="s">
        <v>56</v>
      </c>
      <c r="B20" s="17" t="s">
        <v>57</v>
      </c>
      <c r="C20" s="17" t="s">
        <v>108</v>
      </c>
      <c r="D20" s="17" t="s">
        <v>109</v>
      </c>
      <c r="E20" s="17" t="s">
        <v>77</v>
      </c>
      <c r="F20" s="18" t="n">
        <v>92.71</v>
      </c>
      <c r="G20" s="26" t="n">
        <v>272917.81</v>
      </c>
      <c r="H20" s="26" t="n">
        <v>300775.62</v>
      </c>
      <c r="I20" s="26" t="n">
        <v>27857.81</v>
      </c>
      <c r="J20" s="18" t="n">
        <v>29.01</v>
      </c>
      <c r="K20" s="18" t="n">
        <v>13.5</v>
      </c>
      <c r="L20" s="19" t="n">
        <v>0.14561535972387</v>
      </c>
      <c r="M20" s="27" t="n">
        <v>2</v>
      </c>
      <c r="N20" s="17" t="s">
        <v>204</v>
      </c>
      <c r="O20" s="17" t="s">
        <v>203</v>
      </c>
    </row>
    <row r="21" customFormat="false" ht="23.85" hidden="false" customHeight="false" outlineLevel="0" collapsed="false">
      <c r="A21" s="14" t="s">
        <v>66</v>
      </c>
      <c r="B21" s="14" t="s">
        <v>67</v>
      </c>
      <c r="C21" s="14" t="s">
        <v>92</v>
      </c>
      <c r="D21" s="14" t="s">
        <v>93</v>
      </c>
      <c r="E21" s="14" t="s">
        <v>78</v>
      </c>
      <c r="F21" s="15" t="n">
        <v>195.4</v>
      </c>
      <c r="G21" s="24" t="n">
        <v>281649.88</v>
      </c>
      <c r="H21" s="24" t="n">
        <v>336711.2</v>
      </c>
      <c r="I21" s="24" t="n">
        <v>55061.32</v>
      </c>
      <c r="J21" s="15" t="n">
        <v>70.3</v>
      </c>
      <c r="K21" s="15" t="n">
        <v>26.74</v>
      </c>
      <c r="L21" s="16" t="n">
        <v>0.136847492323439</v>
      </c>
      <c r="M21" s="25" t="n">
        <v>2</v>
      </c>
      <c r="N21" s="14" t="s">
        <v>205</v>
      </c>
      <c r="O21" s="14" t="s">
        <v>203</v>
      </c>
    </row>
    <row r="24" customFormat="false" ht="15" hidden="false" customHeight="false" outlineLevel="0" collapsed="false">
      <c r="A24" s="28" t="s">
        <v>206</v>
      </c>
    </row>
    <row r="25" customFormat="false" ht="15" hidden="false" customHeight="false" outlineLevel="0" collapsed="false">
      <c r="A25" s="3" t="s">
        <v>207</v>
      </c>
    </row>
    <row r="26" customFormat="false" ht="15" hidden="false" customHeight="false" outlineLevel="0" collapsed="false">
      <c r="A26" s="3" t="s">
        <v>208</v>
      </c>
    </row>
    <row r="27" customFormat="false" ht="15" hidden="false" customHeight="false" outlineLevel="0" collapsed="false">
      <c r="A27" s="51" t="s">
        <v>209</v>
      </c>
    </row>
    <row r="29" customFormat="false" ht="15" hidden="false" customHeight="false" outlineLevel="0" collapsed="false">
      <c r="A29" s="28" t="s">
        <v>210</v>
      </c>
    </row>
    <row r="30" customFormat="false" ht="15" hidden="false" customHeight="false" outlineLevel="0" collapsed="false">
      <c r="A30" s="3" t="s">
        <v>211</v>
      </c>
    </row>
    <row r="31" customFormat="false" ht="15" hidden="false" customHeight="false" outlineLevel="0" collapsed="false">
      <c r="A31" s="3" t="s">
        <v>212</v>
      </c>
    </row>
    <row r="32" customFormat="false" ht="15" hidden="false" customHeight="false" outlineLevel="0" collapsed="false">
      <c r="A32" s="3" t="s">
        <v>213</v>
      </c>
    </row>
    <row r="33" customFormat="false" ht="15" hidden="false" customHeight="false" outlineLevel="0" collapsed="false">
      <c r="A33" s="3" t="s">
        <v>214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9" min="7" style="0" width="20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21"/>
  </cols>
  <sheetData>
    <row r="1" customFormat="false" ht="19.7" hidden="false" customHeight="false" outlineLevel="0" collapsed="false">
      <c r="A1" s="4" t="s">
        <v>215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6" t="s">
        <v>216</v>
      </c>
    </row>
    <row r="4" customFormat="false" ht="15" hidden="false" customHeight="false" outlineLevel="0" collapsed="false">
      <c r="A4" s="13" t="s">
        <v>217</v>
      </c>
      <c r="B4" s="13" t="s">
        <v>47</v>
      </c>
      <c r="C4" s="13" t="s">
        <v>218</v>
      </c>
      <c r="D4" s="13" t="s">
        <v>219</v>
      </c>
      <c r="E4" s="13" t="s">
        <v>48</v>
      </c>
      <c r="F4" s="13" t="s">
        <v>49</v>
      </c>
      <c r="G4" s="13" t="s">
        <v>50</v>
      </c>
      <c r="H4" s="13" t="s">
        <v>37</v>
      </c>
      <c r="I4" s="13" t="s">
        <v>38</v>
      </c>
      <c r="J4" s="13" t="s">
        <v>39</v>
      </c>
      <c r="K4" s="13" t="s">
        <v>40</v>
      </c>
      <c r="L4" s="13" t="s">
        <v>55</v>
      </c>
      <c r="M4" s="13" t="s">
        <v>54</v>
      </c>
    </row>
    <row r="5" customFormat="false" ht="15" hidden="false" customHeight="false" outlineLevel="0" collapsed="false">
      <c r="A5" s="14" t="s">
        <v>220</v>
      </c>
      <c r="B5" s="25" t="n">
        <v>44095.18</v>
      </c>
      <c r="C5" s="25" t="n">
        <v>104972.13</v>
      </c>
      <c r="D5" s="25" t="n">
        <v>127631.76</v>
      </c>
      <c r="E5" s="24" t="n">
        <v>53989152.05</v>
      </c>
      <c r="F5" s="24" t="n">
        <v>62647393.01</v>
      </c>
      <c r="G5" s="24" t="n">
        <v>8658240.96</v>
      </c>
      <c r="H5" s="25" t="n">
        <v>39977.66</v>
      </c>
      <c r="I5" s="25" t="n">
        <v>2105.13</v>
      </c>
      <c r="J5" s="25" t="n">
        <v>868</v>
      </c>
      <c r="K5" s="25" t="n">
        <v>1144.39</v>
      </c>
      <c r="L5" s="16" t="n">
        <v>0.0259527231774539</v>
      </c>
      <c r="M5" s="16" t="n">
        <v>0.518766823529412</v>
      </c>
    </row>
    <row r="6" customFormat="false" ht="15" hidden="false" customHeight="false" outlineLevel="0" collapsed="false">
      <c r="A6" s="17" t="s">
        <v>221</v>
      </c>
      <c r="B6" s="27" t="n">
        <v>53632.36</v>
      </c>
      <c r="C6" s="27" t="n">
        <v>91781.32</v>
      </c>
      <c r="D6" s="27" t="n">
        <v>82255.64</v>
      </c>
      <c r="E6" s="26" t="n">
        <v>51790797.14</v>
      </c>
      <c r="F6" s="26" t="n">
        <v>58011888.05</v>
      </c>
      <c r="G6" s="26" t="n">
        <v>6221090.91</v>
      </c>
      <c r="H6" s="27" t="n">
        <v>49342.78</v>
      </c>
      <c r="I6" s="27" t="n">
        <v>1308.64</v>
      </c>
      <c r="J6" s="27" t="n">
        <v>968.55</v>
      </c>
      <c r="K6" s="27" t="n">
        <v>2012.39</v>
      </c>
      <c r="L6" s="19" t="n">
        <v>0.0375219363831836</v>
      </c>
      <c r="M6" s="19" t="n">
        <v>0.630968941176471</v>
      </c>
    </row>
    <row r="7" customFormat="false" ht="15" hidden="false" customHeight="false" outlineLevel="0" collapsed="false">
      <c r="A7" s="14" t="s">
        <v>222</v>
      </c>
      <c r="B7" s="25" t="n">
        <v>51587.91</v>
      </c>
      <c r="C7" s="25" t="n">
        <v>90779.79</v>
      </c>
      <c r="D7" s="25" t="n">
        <v>92915.3</v>
      </c>
      <c r="E7" s="24" t="n">
        <v>51832588.14</v>
      </c>
      <c r="F7" s="24" t="n">
        <v>58134186.14</v>
      </c>
      <c r="G7" s="24" t="n">
        <v>6301598</v>
      </c>
      <c r="H7" s="25" t="n">
        <v>47292.41</v>
      </c>
      <c r="I7" s="25" t="n">
        <v>1230.13</v>
      </c>
      <c r="J7" s="25" t="n">
        <v>1049.85</v>
      </c>
      <c r="K7" s="25" t="n">
        <v>2015.52</v>
      </c>
      <c r="L7" s="16" t="n">
        <v>0.0390696192189216</v>
      </c>
      <c r="M7" s="16" t="n">
        <v>0.606916588235294</v>
      </c>
    </row>
    <row r="8" customFormat="false" ht="15" hidden="false" customHeight="false" outlineLevel="0" collapsed="false">
      <c r="A8" s="17" t="s">
        <v>223</v>
      </c>
      <c r="B8" s="27" t="n">
        <v>74902.41</v>
      </c>
      <c r="C8" s="27" t="n">
        <v>99420.61</v>
      </c>
      <c r="D8" s="27" t="n">
        <v>75964.5</v>
      </c>
      <c r="E8" s="26" t="n">
        <v>74034206.97</v>
      </c>
      <c r="F8" s="26" t="n">
        <v>87139032.31</v>
      </c>
      <c r="G8" s="26" t="n">
        <v>13104825.34</v>
      </c>
      <c r="H8" s="27" t="n">
        <v>69061.37</v>
      </c>
      <c r="I8" s="27" t="n">
        <v>2478.45</v>
      </c>
      <c r="J8" s="27" t="n">
        <v>827.86</v>
      </c>
      <c r="K8" s="27" t="n">
        <v>2534.73</v>
      </c>
      <c r="L8" s="19" t="n">
        <v>0.0338404331716429</v>
      </c>
      <c r="M8" s="19" t="n">
        <v>0.881204823529412</v>
      </c>
    </row>
    <row r="9" customFormat="false" ht="15" hidden="false" customHeight="false" outlineLevel="0" collapsed="false">
      <c r="A9" s="14" t="s">
        <v>224</v>
      </c>
      <c r="B9" s="25" t="n">
        <v>45151.84</v>
      </c>
      <c r="C9" s="25" t="n">
        <v>87524.69</v>
      </c>
      <c r="D9" s="25" t="n">
        <v>117434.6</v>
      </c>
      <c r="E9" s="24" t="n">
        <v>52673655.07</v>
      </c>
      <c r="F9" s="24" t="n">
        <v>59436351.18</v>
      </c>
      <c r="G9" s="24" t="n">
        <v>6762696.11</v>
      </c>
      <c r="H9" s="25" t="n">
        <v>39753.41</v>
      </c>
      <c r="I9" s="25" t="n">
        <v>1726.66</v>
      </c>
      <c r="J9" s="25" t="n">
        <v>746.86</v>
      </c>
      <c r="K9" s="25" t="n">
        <v>2924.91</v>
      </c>
      <c r="L9" s="16" t="n">
        <v>0.0647794198420264</v>
      </c>
      <c r="M9" s="16" t="n">
        <v>0.531198117647059</v>
      </c>
    </row>
    <row r="10" customFormat="false" ht="15" hidden="false" customHeight="false" outlineLevel="0" collapsed="false">
      <c r="A10" s="17" t="s">
        <v>225</v>
      </c>
      <c r="B10" s="27" t="n">
        <v>39179.87</v>
      </c>
      <c r="C10" s="27" t="n">
        <v>98181.54</v>
      </c>
      <c r="D10" s="27" t="n">
        <v>141866.24</v>
      </c>
      <c r="E10" s="26" t="n">
        <v>61319244.39</v>
      </c>
      <c r="F10" s="26" t="n">
        <v>72283187.58</v>
      </c>
      <c r="G10" s="26" t="n">
        <v>10963943.19</v>
      </c>
      <c r="H10" s="27" t="n">
        <v>32602.37</v>
      </c>
      <c r="I10" s="27" t="n">
        <v>2815.78</v>
      </c>
      <c r="J10" s="27" t="n">
        <v>941.84</v>
      </c>
      <c r="K10" s="27" t="n">
        <v>2819.88</v>
      </c>
      <c r="L10" s="19" t="n">
        <v>0.0719726737225009</v>
      </c>
      <c r="M10" s="19" t="n">
        <v>0.460939647058824</v>
      </c>
    </row>
    <row r="11" customFormat="false" ht="15" hidden="false" customHeight="false" outlineLevel="0" collapsed="false">
      <c r="A11" s="14" t="s">
        <v>226</v>
      </c>
      <c r="B11" s="25" t="n">
        <v>61031.26</v>
      </c>
      <c r="C11" s="25" t="n">
        <v>96699.53</v>
      </c>
      <c r="D11" s="25" t="n">
        <v>73326.28</v>
      </c>
      <c r="E11" s="24" t="n">
        <v>59554341.52</v>
      </c>
      <c r="F11" s="24" t="n">
        <v>70132015.3</v>
      </c>
      <c r="G11" s="24" t="n">
        <v>10577673.78</v>
      </c>
      <c r="H11" s="25" t="n">
        <v>55936.84</v>
      </c>
      <c r="I11" s="25" t="n">
        <v>1797.17</v>
      </c>
      <c r="J11" s="25" t="n">
        <v>852.14</v>
      </c>
      <c r="K11" s="25" t="n">
        <v>2445.11</v>
      </c>
      <c r="L11" s="16" t="n">
        <v>0.0400632397233811</v>
      </c>
      <c r="M11" s="16" t="n">
        <v>0.718014823529412</v>
      </c>
    </row>
    <row r="12" customFormat="false" ht="15" hidden="false" customHeight="false" outlineLevel="0" collapsed="false">
      <c r="A12" s="17" t="s">
        <v>227</v>
      </c>
      <c r="B12" s="27" t="n">
        <v>52148.92</v>
      </c>
      <c r="C12" s="27" t="n">
        <v>102159.85</v>
      </c>
      <c r="D12" s="27" t="n">
        <v>149710.8</v>
      </c>
      <c r="E12" s="26" t="n">
        <v>63773505.97</v>
      </c>
      <c r="F12" s="26" t="n">
        <v>73148361.59</v>
      </c>
      <c r="G12" s="26" t="n">
        <v>9374855.62000001</v>
      </c>
      <c r="H12" s="27" t="n">
        <v>46128.86</v>
      </c>
      <c r="I12" s="27" t="n">
        <v>2234.44</v>
      </c>
      <c r="J12" s="27" t="n">
        <v>957.68</v>
      </c>
      <c r="K12" s="27" t="n">
        <v>2827.94</v>
      </c>
      <c r="L12" s="19" t="n">
        <v>0.0542281604297846</v>
      </c>
      <c r="M12" s="19" t="n">
        <v>0.613516705882353</v>
      </c>
    </row>
    <row r="13" customFormat="false" ht="15" hidden="false" customHeight="false" outlineLevel="0" collapsed="false">
      <c r="A13" s="14" t="s">
        <v>228</v>
      </c>
      <c r="B13" s="25" t="n">
        <v>53833.59</v>
      </c>
      <c r="C13" s="25" t="n">
        <v>119020.94</v>
      </c>
      <c r="D13" s="25" t="n">
        <v>97198.05</v>
      </c>
      <c r="E13" s="24" t="n">
        <v>72536389.43</v>
      </c>
      <c r="F13" s="24" t="n">
        <v>82635082.39</v>
      </c>
      <c r="G13" s="24" t="n">
        <v>10098692.96</v>
      </c>
      <c r="H13" s="25" t="n">
        <v>47546.48</v>
      </c>
      <c r="I13" s="25" t="n">
        <v>1993.81</v>
      </c>
      <c r="J13" s="25" t="n">
        <v>992.57</v>
      </c>
      <c r="K13" s="25" t="n">
        <v>3300.73</v>
      </c>
      <c r="L13" s="16" t="n">
        <v>0.0613135776380509</v>
      </c>
      <c r="M13" s="16" t="n">
        <v>0.633336352941176</v>
      </c>
    </row>
    <row r="14" customFormat="false" ht="15" hidden="false" customHeight="false" outlineLevel="0" collapsed="false">
      <c r="A14" s="17" t="s">
        <v>229</v>
      </c>
      <c r="B14" s="27" t="n">
        <v>35768.07</v>
      </c>
      <c r="C14" s="27" t="n">
        <v>102058.68</v>
      </c>
      <c r="D14" s="27" t="n">
        <v>120191.73</v>
      </c>
      <c r="E14" s="26" t="n">
        <v>52784404.42</v>
      </c>
      <c r="F14" s="26" t="n">
        <v>58192985.62</v>
      </c>
      <c r="G14" s="26" t="n">
        <v>5408581.2</v>
      </c>
      <c r="H14" s="27" t="n">
        <v>30163.84</v>
      </c>
      <c r="I14" s="27" t="n">
        <v>1515.57</v>
      </c>
      <c r="J14" s="27" t="n">
        <v>1038.61</v>
      </c>
      <c r="K14" s="27" t="n">
        <v>3050.05</v>
      </c>
      <c r="L14" s="19" t="n">
        <v>0.0852729822995761</v>
      </c>
      <c r="M14" s="19" t="n">
        <v>0.420800823529412</v>
      </c>
    </row>
    <row r="15" customFormat="false" ht="15" hidden="false" customHeight="false" outlineLevel="0" collapsed="false">
      <c r="A15" s="14" t="s">
        <v>230</v>
      </c>
      <c r="B15" s="25" t="n">
        <v>70710</v>
      </c>
      <c r="C15" s="25" t="n">
        <v>146480.06</v>
      </c>
      <c r="D15" s="25" t="n">
        <v>58140.67</v>
      </c>
      <c r="E15" s="24" t="n">
        <v>66558321.02</v>
      </c>
      <c r="F15" s="24" t="n">
        <v>79781235.92</v>
      </c>
      <c r="G15" s="24" t="n">
        <v>13222914.9</v>
      </c>
      <c r="H15" s="25" t="n">
        <v>65245.39</v>
      </c>
      <c r="I15" s="25" t="n">
        <v>2248.64</v>
      </c>
      <c r="J15" s="25" t="n">
        <v>1252.05</v>
      </c>
      <c r="K15" s="25" t="n">
        <v>1963.92</v>
      </c>
      <c r="L15" s="16" t="n">
        <v>0.0277742893508698</v>
      </c>
      <c r="M15" s="16" t="n">
        <v>0.831882352941177</v>
      </c>
    </row>
    <row r="16" customFormat="false" ht="15" hidden="false" customHeight="false" outlineLevel="0" collapsed="false">
      <c r="A16" s="17" t="s">
        <v>231</v>
      </c>
      <c r="B16" s="27" t="n">
        <v>65013.35</v>
      </c>
      <c r="C16" s="27" t="n">
        <v>100702.36</v>
      </c>
      <c r="D16" s="27" t="n">
        <v>153926.55</v>
      </c>
      <c r="E16" s="26" t="n">
        <v>64824075.61</v>
      </c>
      <c r="F16" s="26" t="n">
        <v>76053568.68</v>
      </c>
      <c r="G16" s="26" t="n">
        <v>11229493.07</v>
      </c>
      <c r="H16" s="27" t="n">
        <v>59093.5</v>
      </c>
      <c r="I16" s="27" t="n">
        <v>1981.07</v>
      </c>
      <c r="J16" s="27" t="n">
        <v>1169.84</v>
      </c>
      <c r="K16" s="27" t="n">
        <v>2768.94</v>
      </c>
      <c r="L16" s="19" t="n">
        <v>0.0425903295246284</v>
      </c>
      <c r="M16" s="19" t="n">
        <v>0.764862941176471</v>
      </c>
    </row>
    <row r="17" customFormat="false" ht="15" hidden="false" customHeight="false" outlineLevel="0" collapsed="false">
      <c r="A17" s="14" t="s">
        <v>232</v>
      </c>
      <c r="B17" s="25" t="n">
        <v>36781.75</v>
      </c>
      <c r="C17" s="25" t="n">
        <v>97343.26</v>
      </c>
      <c r="D17" s="25" t="n">
        <v>125661.65</v>
      </c>
      <c r="E17" s="24" t="n">
        <v>51364273.37</v>
      </c>
      <c r="F17" s="24" t="n">
        <v>59087365.81</v>
      </c>
      <c r="G17" s="24" t="n">
        <v>7723092.44000001</v>
      </c>
      <c r="H17" s="25" t="n">
        <v>32655.09</v>
      </c>
      <c r="I17" s="25" t="n">
        <v>1588.45</v>
      </c>
      <c r="J17" s="25" t="n">
        <v>978.05</v>
      </c>
      <c r="K17" s="25" t="n">
        <v>1560.16</v>
      </c>
      <c r="L17" s="16" t="n">
        <v>0.0424166876236177</v>
      </c>
      <c r="M17" s="16" t="n">
        <v>0.432726470588235</v>
      </c>
    </row>
    <row r="18" customFormat="false" ht="15" hidden="false" customHeight="false" outlineLevel="0" collapsed="false">
      <c r="A18" s="17" t="s">
        <v>233</v>
      </c>
      <c r="B18" s="27" t="n">
        <v>28521.91</v>
      </c>
      <c r="C18" s="27" t="n">
        <v>81693.15</v>
      </c>
      <c r="D18" s="27" t="n">
        <v>89888.58</v>
      </c>
      <c r="E18" s="26" t="n">
        <v>39360467.85</v>
      </c>
      <c r="F18" s="26" t="n">
        <v>41933872.03</v>
      </c>
      <c r="G18" s="26" t="n">
        <v>2573404.18</v>
      </c>
      <c r="H18" s="27" t="n">
        <v>23975.86</v>
      </c>
      <c r="I18" s="27" t="n">
        <v>1717.12</v>
      </c>
      <c r="J18" s="27" t="n">
        <v>1070.68</v>
      </c>
      <c r="K18" s="27" t="n">
        <v>1758.25</v>
      </c>
      <c r="L18" s="19" t="n">
        <v>0.061645591056139</v>
      </c>
      <c r="M18" s="19" t="n">
        <v>0.335551882352941</v>
      </c>
    </row>
    <row r="19" customFormat="false" ht="15" hidden="false" customHeight="false" outlineLevel="0" collapsed="false">
      <c r="A19" s="14" t="s">
        <v>234</v>
      </c>
      <c r="B19" s="25" t="n">
        <v>30055.29</v>
      </c>
      <c r="C19" s="25" t="n">
        <v>79078.97</v>
      </c>
      <c r="D19" s="25" t="n">
        <v>77539.21</v>
      </c>
      <c r="E19" s="24" t="n">
        <v>36766915.66</v>
      </c>
      <c r="F19" s="24" t="n">
        <v>41372531.22</v>
      </c>
      <c r="G19" s="24" t="n">
        <v>4605615.56</v>
      </c>
      <c r="H19" s="25" t="n">
        <v>26894.13</v>
      </c>
      <c r="I19" s="25" t="n">
        <v>1061.82</v>
      </c>
      <c r="J19" s="25" t="n">
        <v>817.37</v>
      </c>
      <c r="K19" s="25" t="n">
        <v>1281.97</v>
      </c>
      <c r="L19" s="16" t="n">
        <v>0.042653722522724</v>
      </c>
      <c r="M19" s="16" t="n">
        <v>0.353591647058824</v>
      </c>
    </row>
    <row r="20" customFormat="false" ht="15" hidden="false" customHeight="false" outlineLevel="0" collapsed="false">
      <c r="A20" s="17" t="s">
        <v>235</v>
      </c>
      <c r="B20" s="27" t="n">
        <v>33481.7</v>
      </c>
      <c r="C20" s="27" t="n">
        <v>72573.85</v>
      </c>
      <c r="D20" s="27" t="n">
        <v>69205.78</v>
      </c>
      <c r="E20" s="26" t="n">
        <v>44355841.65</v>
      </c>
      <c r="F20" s="26" t="n">
        <v>48823756.9</v>
      </c>
      <c r="G20" s="26" t="n">
        <v>4467915.25</v>
      </c>
      <c r="H20" s="27" t="n">
        <v>28649.59</v>
      </c>
      <c r="I20" s="27" t="n">
        <v>2001.29</v>
      </c>
      <c r="J20" s="27" t="n">
        <v>909.76</v>
      </c>
      <c r="K20" s="27" t="n">
        <v>1921.06</v>
      </c>
      <c r="L20" s="19" t="n">
        <v>0.0573764175654163</v>
      </c>
      <c r="M20" s="19" t="n">
        <v>0.393902352941176</v>
      </c>
    </row>
    <row r="21" customFormat="false" ht="15" hidden="false" customHeight="false" outlineLevel="0" collapsed="false">
      <c r="A21" s="14" t="s">
        <v>236</v>
      </c>
      <c r="B21" s="25" t="n">
        <v>72641.8</v>
      </c>
      <c r="C21" s="25" t="n">
        <v>68551.79</v>
      </c>
      <c r="D21" s="25" t="n">
        <v>29306.53</v>
      </c>
      <c r="E21" s="24" t="n">
        <v>59553348.16</v>
      </c>
      <c r="F21" s="24" t="n">
        <v>67443981.76</v>
      </c>
      <c r="G21" s="24" t="n">
        <v>7890633.60000001</v>
      </c>
      <c r="H21" s="25" t="n">
        <v>64439.42</v>
      </c>
      <c r="I21" s="25" t="n">
        <v>4523.4</v>
      </c>
      <c r="J21" s="25" t="n">
        <v>893.03</v>
      </c>
      <c r="K21" s="25" t="n">
        <v>2785.95</v>
      </c>
      <c r="L21" s="16" t="n">
        <v>0.0383518855534967</v>
      </c>
      <c r="M21" s="16" t="n">
        <v>0.854609411764706</v>
      </c>
    </row>
    <row r="22" customFormat="false" ht="15" hidden="false" customHeight="false" outlineLevel="0" collapsed="false">
      <c r="A22" s="17" t="s">
        <v>237</v>
      </c>
      <c r="B22" s="27" t="n">
        <v>65843.53</v>
      </c>
      <c r="C22" s="27" t="n">
        <v>86793.84</v>
      </c>
      <c r="D22" s="27" t="n">
        <v>178138.56</v>
      </c>
      <c r="E22" s="26" t="n">
        <v>51621251.63</v>
      </c>
      <c r="F22" s="26" t="n">
        <v>58347869.22</v>
      </c>
      <c r="G22" s="26" t="n">
        <v>6726617.59</v>
      </c>
      <c r="H22" s="27" t="n">
        <v>58221.75</v>
      </c>
      <c r="I22" s="27" t="n">
        <v>2974.77</v>
      </c>
      <c r="J22" s="27" t="n">
        <v>1110.29</v>
      </c>
      <c r="K22" s="27" t="n">
        <v>3536.72</v>
      </c>
      <c r="L22" s="19" t="n">
        <v>0.0537140095617595</v>
      </c>
      <c r="M22" s="19" t="n">
        <v>0.774629764705882</v>
      </c>
    </row>
    <row r="23" customFormat="false" ht="15" hidden="false" customHeight="false" outlineLevel="0" collapsed="false">
      <c r="A23" s="14" t="s">
        <v>238</v>
      </c>
      <c r="B23" s="25" t="n">
        <v>51209.97</v>
      </c>
      <c r="C23" s="25" t="n">
        <v>116462.02</v>
      </c>
      <c r="D23" s="25" t="n">
        <v>106046.35</v>
      </c>
      <c r="E23" s="24" t="n">
        <v>45813376.99</v>
      </c>
      <c r="F23" s="24" t="n">
        <v>51440780.09</v>
      </c>
      <c r="G23" s="24" t="n">
        <v>5627403.1</v>
      </c>
      <c r="H23" s="25" t="n">
        <v>43476.02</v>
      </c>
      <c r="I23" s="25" t="n">
        <v>2832.11</v>
      </c>
      <c r="J23" s="25" t="n">
        <v>1522.56</v>
      </c>
      <c r="K23" s="25" t="n">
        <v>3379.28</v>
      </c>
      <c r="L23" s="16" t="n">
        <v>0.0659887127448034</v>
      </c>
      <c r="M23" s="16" t="n">
        <v>0.602470235294118</v>
      </c>
    </row>
    <row r="24" customFormat="false" ht="15" hidden="false" customHeight="false" outlineLevel="0" collapsed="false">
      <c r="A24" s="17" t="s">
        <v>239</v>
      </c>
      <c r="B24" s="27" t="n">
        <v>71175.48</v>
      </c>
      <c r="C24" s="27" t="n">
        <v>117927.12</v>
      </c>
      <c r="D24" s="27" t="n">
        <v>78122.31</v>
      </c>
      <c r="E24" s="26" t="n">
        <v>57477156.2</v>
      </c>
      <c r="F24" s="26" t="n">
        <v>66499783.26</v>
      </c>
      <c r="G24" s="26" t="n">
        <v>9022627.06</v>
      </c>
      <c r="H24" s="27" t="n">
        <v>63084.65</v>
      </c>
      <c r="I24" s="27" t="n">
        <v>3074.43</v>
      </c>
      <c r="J24" s="27" t="n">
        <v>1790.69</v>
      </c>
      <c r="K24" s="27" t="n">
        <v>3225.71</v>
      </c>
      <c r="L24" s="19" t="n">
        <v>0.0453205233038119</v>
      </c>
      <c r="M24" s="19" t="n">
        <v>0.837358588235294</v>
      </c>
    </row>
    <row r="25" customFormat="false" ht="15" hidden="false" customHeight="false" outlineLevel="0" collapsed="false">
      <c r="A25" s="14" t="s">
        <v>240</v>
      </c>
      <c r="B25" s="25" t="n">
        <v>59873.08</v>
      </c>
      <c r="C25" s="25" t="n">
        <v>113121.46</v>
      </c>
      <c r="D25" s="25" t="n">
        <v>124700.42</v>
      </c>
      <c r="E25" s="24" t="n">
        <v>58055878.18</v>
      </c>
      <c r="F25" s="24" t="n">
        <v>66634928.03</v>
      </c>
      <c r="G25" s="24" t="n">
        <v>8579049.85</v>
      </c>
      <c r="H25" s="25" t="n">
        <v>51609.33</v>
      </c>
      <c r="I25" s="25" t="n">
        <v>3156.19</v>
      </c>
      <c r="J25" s="25" t="n">
        <v>1611.92</v>
      </c>
      <c r="K25" s="25" t="n">
        <v>3495.64</v>
      </c>
      <c r="L25" s="16" t="n">
        <v>0.0583841686447398</v>
      </c>
      <c r="M25" s="16" t="n">
        <v>0.704389176470588</v>
      </c>
    </row>
    <row r="26" customFormat="false" ht="15" hidden="false" customHeight="false" outlineLevel="0" collapsed="false">
      <c r="A26" s="17" t="s">
        <v>241</v>
      </c>
      <c r="B26" s="27" t="n">
        <v>48593.7</v>
      </c>
      <c r="C26" s="27" t="n">
        <v>116295.03</v>
      </c>
      <c r="D26" s="27" t="n">
        <v>127576.74</v>
      </c>
      <c r="E26" s="26" t="n">
        <v>44975450.69</v>
      </c>
      <c r="F26" s="26" t="n">
        <v>50486611.94</v>
      </c>
      <c r="G26" s="26" t="n">
        <v>5511161.25</v>
      </c>
      <c r="H26" s="27" t="n">
        <v>43324.77</v>
      </c>
      <c r="I26" s="27" t="n">
        <v>2206.36</v>
      </c>
      <c r="J26" s="27" t="n">
        <v>1163.4</v>
      </c>
      <c r="K26" s="27" t="n">
        <v>1899.17</v>
      </c>
      <c r="L26" s="19" t="n">
        <v>0.0390826382843867</v>
      </c>
      <c r="M26" s="19" t="n">
        <v>0.571690588235294</v>
      </c>
    </row>
    <row r="27" customFormat="false" ht="15" hidden="false" customHeight="false" outlineLevel="0" collapsed="false">
      <c r="A27" s="14" t="s">
        <v>242</v>
      </c>
      <c r="B27" s="25" t="n">
        <v>64112.69</v>
      </c>
      <c r="C27" s="25" t="n">
        <v>311502.84</v>
      </c>
      <c r="D27" s="25" t="n">
        <v>133323.42</v>
      </c>
      <c r="E27" s="24" t="n">
        <v>66784471.42</v>
      </c>
      <c r="F27" s="24" t="n">
        <v>78526002.09</v>
      </c>
      <c r="G27" s="24" t="n">
        <v>11741530.67</v>
      </c>
      <c r="H27" s="25" t="n">
        <v>53961.24</v>
      </c>
      <c r="I27" s="25" t="n">
        <v>5269.58</v>
      </c>
      <c r="J27" s="25" t="n">
        <v>1998.22</v>
      </c>
      <c r="K27" s="25" t="n">
        <v>2883.65</v>
      </c>
      <c r="L27" s="16" t="n">
        <v>0.0449778351212529</v>
      </c>
      <c r="M27" s="16" t="n">
        <v>0.754266941176471</v>
      </c>
    </row>
    <row r="28" customFormat="false" ht="15" hidden="false" customHeight="false" outlineLevel="0" collapsed="false">
      <c r="A28" s="17" t="s">
        <v>243</v>
      </c>
      <c r="B28" s="27" t="n">
        <v>58772.89</v>
      </c>
      <c r="C28" s="27" t="n">
        <v>119897.51</v>
      </c>
      <c r="D28" s="27" t="n">
        <v>110917.74</v>
      </c>
      <c r="E28" s="26" t="n">
        <v>61015453.67</v>
      </c>
      <c r="F28" s="26" t="n">
        <v>69611252.26</v>
      </c>
      <c r="G28" s="26" t="n">
        <v>8595798.59</v>
      </c>
      <c r="H28" s="27" t="n">
        <v>50237.58</v>
      </c>
      <c r="I28" s="27" t="n">
        <v>2915.97</v>
      </c>
      <c r="J28" s="27" t="n">
        <v>1855.35</v>
      </c>
      <c r="K28" s="27" t="n">
        <v>3763.99</v>
      </c>
      <c r="L28" s="19" t="n">
        <v>0.0640429626652697</v>
      </c>
      <c r="M28" s="19" t="n">
        <v>0.691445764705882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2026-10-22T17:33:18Z</dcterms:created>
  <dc:creator>openpyxl</dc:creator>
  <dc:description/>
  <dc:language>en-US</dc:language>
  <cp:lastModifiedBy/>
  <dcterms:modified xsi:type="dcterms:W3CDTF">2026-10-22T17:33:18Z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